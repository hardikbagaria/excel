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AMING DESKTOP\Desktop\bills\"/>
    </mc:Choice>
  </mc:AlternateContent>
  <bookViews>
    <workbookView xWindow="-120" yWindow="-120" windowWidth="29040" windowHeight="15720"/>
  </bookViews>
  <sheets>
    <sheet name="Sheet1" sheetId="1" r:id="rId1"/>
    <sheet name="Sheet2" sheetId="2" r:id="rId2"/>
  </sheets>
  <functionGroups builtInGroupCount="18"/>
  <definedNames>
    <definedName name="_xlnm._FilterDatabase" localSheetId="1" hidden="1">Sheet2!$E$1:$E$23</definedName>
    <definedName name="_xlnm.Print_Area" localSheetId="0">Sheet1!$A$1:$J$55</definedName>
  </definedNames>
  <calcPr calcId="162913"/>
</workbook>
</file>

<file path=xl/calcChain.xml><?xml version="1.0" encoding="utf-8"?>
<calcChain xmlns="http://schemas.openxmlformats.org/spreadsheetml/2006/main">
  <c r="I18" i="1" l="1"/>
  <c r="F18" i="1"/>
  <c r="I2" i="1"/>
  <c r="A18" i="1" l="1"/>
  <c r="A20" i="1"/>
  <c r="A19" i="1"/>
  <c r="I20" i="1" l="1"/>
  <c r="I10" i="1" l="1"/>
  <c r="C15" i="1"/>
  <c r="C14" i="1"/>
  <c r="C13" i="1"/>
  <c r="C11" i="1"/>
  <c r="A10" i="1"/>
  <c r="A9" i="1"/>
  <c r="A8" i="1"/>
  <c r="C12" i="1" l="1"/>
  <c r="I19" i="1" l="1"/>
  <c r="I21" i="1"/>
  <c r="I22" i="1"/>
  <c r="I23" i="1"/>
  <c r="I24" i="1"/>
  <c r="I25" i="1"/>
  <c r="F19" i="1"/>
  <c r="F20" i="1"/>
  <c r="F21" i="1"/>
  <c r="F22" i="1"/>
  <c r="F23" i="1"/>
  <c r="F24" i="1"/>
  <c r="F25" i="1"/>
  <c r="G34" i="1"/>
  <c r="A21" i="1" l="1"/>
  <c r="A22" i="1"/>
  <c r="A23" i="1"/>
  <c r="A24" i="1"/>
  <c r="A25" i="1"/>
  <c r="A26" i="1"/>
  <c r="A27" i="1"/>
  <c r="A28" i="1"/>
  <c r="G4" i="1"/>
  <c r="G10" i="1" s="1"/>
  <c r="J18" i="1"/>
  <c r="J19" i="1"/>
  <c r="J20" i="1"/>
  <c r="J21" i="1"/>
  <c r="J22" i="1"/>
  <c r="J23" i="1"/>
  <c r="J24" i="1"/>
  <c r="J25" i="1"/>
  <c r="J26" i="1"/>
  <c r="C39" i="1"/>
  <c r="I4" i="1"/>
  <c r="I8" i="1" s="1"/>
  <c r="J29" i="1" l="1"/>
  <c r="D39" i="1" s="1"/>
  <c r="J30" i="1" l="1"/>
  <c r="G39" i="1" l="1"/>
  <c r="I39" i="1" s="1"/>
  <c r="J39" i="1" s="1"/>
  <c r="J31" i="1"/>
  <c r="J33" i="1" s="1"/>
  <c r="A41" i="1"/>
  <c r="J34" i="1" l="1"/>
  <c r="A36" i="1"/>
  <c r="J43" i="1" l="1"/>
  <c r="J44" i="1" s="1"/>
</calcChain>
</file>

<file path=xl/comments1.xml><?xml version="1.0" encoding="utf-8"?>
<comments xmlns="http://schemas.openxmlformats.org/spreadsheetml/2006/main">
  <authors>
    <author/>
  </authors>
  <commentList>
    <comment ref="A1" authorId="0" shapeId="0">
      <text>
        <r>
          <rPr>
            <sz val="11"/>
            <color theme="1"/>
            <rFont val="Calibri"/>
            <family val="2"/>
            <scheme val="minor"/>
          </rPr>
          <t xml:space="preserve">hp:
</t>
        </r>
      </text>
    </comment>
  </commentList>
</comments>
</file>

<file path=xl/sharedStrings.xml><?xml version="1.0" encoding="utf-8"?>
<sst xmlns="http://schemas.openxmlformats.org/spreadsheetml/2006/main" count="276" uniqueCount="246">
  <si>
    <t>SURAJ ENTERPRISES</t>
  </si>
  <si>
    <t>E-12 PANCHAL NAGAR CO-OP HSG. SOC.</t>
  </si>
  <si>
    <t>ANAND NAGAR,OPP. K.T. VISION CINEMA,</t>
  </si>
  <si>
    <t>VASAI ROAD (W) DIST. PALGHAR 401202</t>
  </si>
  <si>
    <t>GSTIN/UIN: 27AQHPB0072E1ZE</t>
  </si>
  <si>
    <t>MOBILE NO. 9022180909</t>
  </si>
  <si>
    <t>IMEDIATE</t>
  </si>
  <si>
    <t>DESCRIPTION OF GOODS</t>
  </si>
  <si>
    <t>QUANTITY</t>
  </si>
  <si>
    <t>RATE</t>
  </si>
  <si>
    <t>PER</t>
  </si>
  <si>
    <t>AMOUNT</t>
  </si>
  <si>
    <t>TOTAL TAXABLE AMOUNT</t>
  </si>
  <si>
    <t>CGST@9%</t>
  </si>
  <si>
    <t>SGST@9%</t>
  </si>
  <si>
    <t>ROUND OFF</t>
  </si>
  <si>
    <t>TOTAL</t>
  </si>
  <si>
    <t>AMOUNT CHARGEABLE (IN WORDS) :</t>
  </si>
  <si>
    <t>E. &amp;O.E</t>
  </si>
  <si>
    <t xml:space="preserve">TOTAL </t>
  </si>
  <si>
    <t>TAX AMOUNT</t>
  </si>
  <si>
    <t>TAX AMOUNT (IN WORDS) :</t>
  </si>
  <si>
    <t>EMAIL :</t>
  </si>
  <si>
    <t>HBAGARIA2007@GMAIL.COM</t>
  </si>
  <si>
    <t>BANK</t>
  </si>
  <si>
    <t xml:space="preserve"> DETAILS</t>
  </si>
  <si>
    <t>PREV. BALANCE :</t>
  </si>
  <si>
    <t>BILL AMOUNT     :</t>
  </si>
  <si>
    <t>NET BALANCE     :</t>
  </si>
  <si>
    <t xml:space="preserve">BANGUR NAGAR GOREGAON (W) </t>
  </si>
  <si>
    <t>PUNB0123110</t>
  </si>
  <si>
    <t>DECLARATION</t>
  </si>
  <si>
    <t>RECEIVER'S SIGN</t>
  </si>
  <si>
    <t>FOR SURAJ ENTERPRISES</t>
  </si>
  <si>
    <t>⁕SUBJECTED TO MUMBAI JURISDICTION</t>
  </si>
  <si>
    <t>⁕FOR INDUSTRIAL USE ONLY NOT FOR MEDICAL OR EDIBLE USE</t>
  </si>
  <si>
    <t>⁕LATE PAYMENT WILL BE CHARGED @24% PER MONTH</t>
  </si>
  <si>
    <t>⁕ GOODS ONCE SOLD WILL NOT BE TAKEN BACK</t>
  </si>
  <si>
    <t>Proprietor/Authorised Sign</t>
  </si>
  <si>
    <t>THIS IS A COMPUTER GENERATED INVOICE</t>
  </si>
  <si>
    <t>GSTIN/UIN:</t>
  </si>
  <si>
    <t xml:space="preserve"> PUNJAB NATIONAL BANK</t>
  </si>
  <si>
    <t>Buyer:</t>
  </si>
  <si>
    <t>BANK NAME                :</t>
  </si>
  <si>
    <t>A/C NO.                         :</t>
  </si>
  <si>
    <t>BRANCH                        :</t>
  </si>
  <si>
    <t>IFSC CODE                    :</t>
  </si>
  <si>
    <t>PAN/IT:</t>
  </si>
  <si>
    <t>Cont. Person:</t>
  </si>
  <si>
    <t>Contact:</t>
  </si>
  <si>
    <t>Buyer's Order No:</t>
  </si>
  <si>
    <t>Dispatch Doc. No:</t>
  </si>
  <si>
    <t>Dated:</t>
  </si>
  <si>
    <t>Vehicle Details:</t>
  </si>
  <si>
    <t>Mode Of Payment:</t>
  </si>
  <si>
    <t>Destination:</t>
  </si>
  <si>
    <t>Verbal</t>
  </si>
  <si>
    <t>Terms of Delivery:</t>
  </si>
  <si>
    <t>Invoice No:</t>
  </si>
  <si>
    <t>Delivery Note:</t>
  </si>
  <si>
    <t>Email:</t>
  </si>
  <si>
    <t>HSN/SAC</t>
  </si>
  <si>
    <t>SR No</t>
  </si>
  <si>
    <t>TAXABLE VALUE</t>
  </si>
  <si>
    <t>CENTRAL TAX</t>
  </si>
  <si>
    <t>STATE TAX</t>
  </si>
  <si>
    <t>Goregaon</t>
  </si>
  <si>
    <t>Name</t>
  </si>
  <si>
    <t>Address Line 1</t>
  </si>
  <si>
    <t>Address Line 2</t>
  </si>
  <si>
    <t>Address Line 3</t>
  </si>
  <si>
    <t>GST</t>
  </si>
  <si>
    <t>Cnt Person</t>
  </si>
  <si>
    <t>Phone No</t>
  </si>
  <si>
    <t>Email</t>
  </si>
  <si>
    <t>gala no 11/B Jay Ambe Industrial Estate</t>
  </si>
  <si>
    <t>Dhumal Nagar, Waliv, Vasai ( E )</t>
  </si>
  <si>
    <t>Palghar-401208.</t>
  </si>
  <si>
    <t>27BDLPC0110Q1ZN</t>
  </si>
  <si>
    <t>Hema Electrical</t>
  </si>
  <si>
    <t>104, Devji Keshav Industrial Estate Opp.Dukes Factory</t>
  </si>
  <si>
    <t>W.T.Patil Marg, Chembur(E), 400071</t>
  </si>
  <si>
    <t>Alam Industries</t>
  </si>
  <si>
    <t>R.D. Industries</t>
  </si>
  <si>
    <t>27BDEPG1608N1ZJ</t>
  </si>
  <si>
    <t>3, Suleman Irfan Compound, Rahat Nagar,</t>
  </si>
  <si>
    <t>Jogeshwari (W), Mumbai - 400102</t>
  </si>
  <si>
    <t>27ALHPY7773Q1ZQ</t>
  </si>
  <si>
    <t>Destination</t>
  </si>
  <si>
    <t>Vasai</t>
  </si>
  <si>
    <t>Chembur</t>
  </si>
  <si>
    <t>Jogeshwari</t>
  </si>
  <si>
    <t>Harsh Packaging</t>
  </si>
  <si>
    <t>Gala No. 1 Rajhans Nagar Tungareswar Road</t>
  </si>
  <si>
    <t xml:space="preserve"> Tungarphata Sativali Vasai East Dist.palghar Vasai</t>
  </si>
  <si>
    <t>Maharashtra 401208, Vasai-virar, MH</t>
  </si>
  <si>
    <t>27AHEPM7543D1ZD</t>
  </si>
  <si>
    <t>Unique Pvc Products</t>
  </si>
  <si>
    <t>Rashid Compound, Next to Himachal Punjabi Dhaba,</t>
  </si>
  <si>
    <t>Virar-E, Dist.Palghar-401208</t>
  </si>
  <si>
    <t>27AKIPD3585F1Z5</t>
  </si>
  <si>
    <t>Virar</t>
  </si>
  <si>
    <t>S.B. Knife</t>
  </si>
  <si>
    <t>10.K.L.T.Road Dewan industrial estate Ganesh Nagar</t>
  </si>
  <si>
    <t>opp Rupam book. Palghar East 401404</t>
  </si>
  <si>
    <t>27AMOPS7298G1Z4</t>
  </si>
  <si>
    <t>Palghar</t>
  </si>
  <si>
    <t>JC Engineering Works</t>
  </si>
  <si>
    <t>Shop No. 235, Plot No. 23-24, Second Floor,</t>
  </si>
  <si>
    <t xml:space="preserve"> Mulay I-square Gangami Ind. Estate,MIDC,</t>
  </si>
  <si>
    <t xml:space="preserve"> Satpur Nashik - 422 007.</t>
  </si>
  <si>
    <t>26BPMPB1227A1ZJ</t>
  </si>
  <si>
    <t>jcengineeringwork7@gmail.com</t>
  </si>
  <si>
    <t xml:space="preserve">D-10, Midc Flatted Building, Near Ultratech </t>
  </si>
  <si>
    <t>Cement Plant, MIDC Satpur, Nashik-7</t>
  </si>
  <si>
    <t>27APFPN3032D1ZA</t>
  </si>
  <si>
    <t>Bhagirathi Enterprises</t>
  </si>
  <si>
    <t>Plot No.B-8/3, MIDC, Kudal Audyogik Samuha,</t>
  </si>
  <si>
    <t>Kudal, Sindhudurg, Ratnagiri, Maharashtra, 416550</t>
  </si>
  <si>
    <t>27ATVPK0510B1Z0</t>
  </si>
  <si>
    <t>Nashik</t>
  </si>
  <si>
    <t>Vikhroli</t>
  </si>
  <si>
    <t>Adil Industries</t>
  </si>
  <si>
    <t>Gala No.0-4, Building 2B, Sagar Industrial Estate,</t>
  </si>
  <si>
    <t xml:space="preserve">Dhumal Nagar, Vasai East. Palghar, </t>
  </si>
  <si>
    <t>Maharashtra, India</t>
  </si>
  <si>
    <t>27ANQPK5156L1ZC</t>
  </si>
  <si>
    <t>Vishal Automates</t>
  </si>
  <si>
    <t xml:space="preserve">Gala No 5 Gandhi Ind Estate Goddev Naka </t>
  </si>
  <si>
    <t>BPX Rd Bhayandar (E) Thane</t>
  </si>
  <si>
    <t>27BGUPS4229J1ZM</t>
  </si>
  <si>
    <t>Bhyandar</t>
  </si>
  <si>
    <t>Sentronics Systems</t>
  </si>
  <si>
    <t>Mumbai 400063, Besides Cello Truimph,</t>
  </si>
  <si>
    <t>,Opp Laghu Udyog Kendra, Goregaon (E)</t>
  </si>
  <si>
    <t>27 Kothari Industrial Estate, I.b.pate Road,</t>
  </si>
  <si>
    <t>27AAHPK5985B1ZK</t>
  </si>
  <si>
    <t>S.K. Engineering Works</t>
  </si>
  <si>
    <t>H.No.1667 Shiv Bhim Nagar, Naikpada, Waliv,</t>
  </si>
  <si>
    <t>27AMCPP2388L1ZJ</t>
  </si>
  <si>
    <t>Vasai (E), Dist. Palghar, Maharashtra, 401208</t>
  </si>
  <si>
    <t>Mun Plast</t>
  </si>
  <si>
    <t xml:space="preserve">Plot G1-G2 Chetna Mehta House Bldg, Off, </t>
  </si>
  <si>
    <t xml:space="preserve">Walbhat Rd, Cama Industrial Estate, Goregaon, </t>
  </si>
  <si>
    <t>Mumbai, Maharashtra 400063</t>
  </si>
  <si>
    <t>27ACRPS7931H1ZW</t>
  </si>
  <si>
    <t>JB Enterprises</t>
  </si>
  <si>
    <t>Gala No 3 M.M. Industrial</t>
  </si>
  <si>
    <t>Sonawala Cross Road No-2 Goregaon(E)</t>
  </si>
  <si>
    <t>27ACZPN4409P1ZL</t>
  </si>
  <si>
    <t>Oriant Enterprises</t>
  </si>
  <si>
    <t>Gala No-b/107/108 Prasad Industral Estate</t>
  </si>
  <si>
    <t>Satavali Vasai West Dis.palghar</t>
  </si>
  <si>
    <t>Om Sai Enterprises</t>
  </si>
  <si>
    <t>Plot No.-29,sr No.-330, Near Guru Govind Singh School</t>
  </si>
  <si>
    <t>Samarth Nagar, Wadala Pathardi Road,</t>
  </si>
  <si>
    <t>Nashik, Maharashtra, 422009</t>
  </si>
  <si>
    <t>sagar@hemaelectrical.com</t>
  </si>
  <si>
    <t>Shiv Shakti Cng Pipe Bending</t>
  </si>
  <si>
    <t xml:space="preserve">Ground Rais Nagar, 21/4,Khairpada Road, </t>
  </si>
  <si>
    <t>Vasai East, Palghar-401208.</t>
  </si>
  <si>
    <t>27DQIPP7872L1ZV</t>
  </si>
  <si>
    <t>27EFLPM6095B1Z5</t>
  </si>
  <si>
    <t>Vinod Maurya</t>
  </si>
  <si>
    <t>SRB Industries</t>
  </si>
  <si>
    <t>38, Baban Mishra Compound, Sonawala Cross,</t>
  </si>
  <si>
    <t>Road No.2, Goregaon East, Mumbai Suburban,</t>
  </si>
  <si>
    <t xml:space="preserve"> Maharashtra, 400063. </t>
  </si>
  <si>
    <t>27ABHPY2622G1ZI</t>
  </si>
  <si>
    <t>Jayprakash Yadav</t>
  </si>
  <si>
    <t>jbentps@gmail.com</t>
  </si>
  <si>
    <t>Ashraf Plastics</t>
  </si>
  <si>
    <t xml:space="preserve"> Vasai East, Mumai Maharashtra</t>
  </si>
  <si>
    <t>27AYXPA6898F1ZN</t>
  </si>
  <si>
    <t>Shahzad Choudhary</t>
  </si>
  <si>
    <t>alam.ind456@gmail.com</t>
  </si>
  <si>
    <t>Munawar Shaikh</t>
  </si>
  <si>
    <t>Shree Ambika Enterprises</t>
  </si>
  <si>
    <t>Shop No.c/ 20,plot No,28 MIDC Flatted Estate</t>
  </si>
  <si>
    <t>Satpur Industrial Area,satpur</t>
  </si>
  <si>
    <t>NASHIK MAHARASHTRA -422007</t>
  </si>
  <si>
    <t>27CEPPP9294E1ZP</t>
  </si>
  <si>
    <t>Krishna Enterprises</t>
  </si>
  <si>
    <t>No. B2, Sagar Indl Estate, Dhumal Nagar, Valiv</t>
  </si>
  <si>
    <t xml:space="preserve">H/1, Building No. B2Sagar Indl Estate,H/1, Building </t>
  </si>
  <si>
    <t>Saraswati Eng Workes</t>
  </si>
  <si>
    <t>D-6 C.B.Yadav Eastate, Damu Nagar</t>
  </si>
  <si>
    <t>Kandivali (E) Mumbai</t>
  </si>
  <si>
    <t>27ACIPH3796C1ZJ</t>
  </si>
  <si>
    <t xml:space="preserve">Kandivali </t>
  </si>
  <si>
    <t>Press Metal Products</t>
  </si>
  <si>
    <t>37 Baban Mishra Compound Sonawala Cross,</t>
  </si>
  <si>
    <t>Road No.2, Goregaon East, Mumbai,</t>
  </si>
  <si>
    <t>Maharashtra, 400063</t>
  </si>
  <si>
    <t>27AAZPS9709B1Z0</t>
  </si>
  <si>
    <t>Dinesh Sakhare</t>
  </si>
  <si>
    <t>Shivansh Engineering Works</t>
  </si>
  <si>
    <t>RN.01, B B Mishra Chawl, Sonawala Cross</t>
  </si>
  <si>
    <t>Road, Mumbai, Mumbai Suburban,</t>
  </si>
  <si>
    <t>27AJXPY2157N1Z0</t>
  </si>
  <si>
    <t>Rameshchandra Yadav</t>
  </si>
  <si>
    <t>27AABPA2382E1Z9</t>
  </si>
  <si>
    <t>Vishal Singh</t>
  </si>
  <si>
    <t>vishal_automats@hotmail.com</t>
  </si>
  <si>
    <t>R.P. Industries</t>
  </si>
  <si>
    <t>D-1, To 5/104 , Prasad Industrial Estate,</t>
  </si>
  <si>
    <t>Sativali, Vasai Kaman Road, Vasai (E) - 401208</t>
  </si>
  <si>
    <t>Dist. Palghar, Maharashtra</t>
  </si>
  <si>
    <t>27AABPR1218A1ZB</t>
  </si>
  <si>
    <t>Gala No.2, Ground Floor, Sterling Industrial</t>
  </si>
  <si>
    <t>Estate Premises Co-op Ltd, Navghar,</t>
  </si>
  <si>
    <t>Vasai East,Palghar-401210</t>
  </si>
  <si>
    <t>27ADYFS7706A1ZP</t>
  </si>
  <si>
    <t>sentripowersolutions7@gmail.com</t>
  </si>
  <si>
    <t>Yash Kothari</t>
  </si>
  <si>
    <t>Sentri Power Solutions</t>
  </si>
  <si>
    <t>Kishor Patkar</t>
  </si>
  <si>
    <t>Miracle International</t>
  </si>
  <si>
    <t>27AAKFM5663P1ZG</t>
  </si>
  <si>
    <t>Gala No. 8, Rajprabha Mohan Indl Estate,</t>
  </si>
  <si>
    <t>Naikpada, Waliv Vasai East, Thane,</t>
  </si>
  <si>
    <t>Maharashtra, 401202</t>
  </si>
  <si>
    <t>Bharat Bhai</t>
  </si>
  <si>
    <t>Shriram Enterprises</t>
  </si>
  <si>
    <t>Flat No. 04, Dattatraya Darshan,</t>
  </si>
  <si>
    <t>Mangesh Ghorpade</t>
  </si>
  <si>
    <t>27AVLPG7358R1ZL</t>
  </si>
  <si>
    <t>shriram_enterprises501@rediffmail.com</t>
  </si>
  <si>
    <t xml:space="preserve">Dharmaji Colony, Satpur, Nashik, </t>
  </si>
  <si>
    <t>Maharashtra, - 422007</t>
  </si>
  <si>
    <t>jose Nellivilayil</t>
  </si>
  <si>
    <t>Opp: Reliance infra Bhyandar: 401105</t>
  </si>
  <si>
    <t>Gala No 07, Sudama Industrial Premises</t>
  </si>
  <si>
    <t>Vishal Automates.</t>
  </si>
  <si>
    <t>Dinesh Bhanushali</t>
  </si>
  <si>
    <t>harshpackaging76@gmail.com</t>
  </si>
  <si>
    <t>Sagar</t>
  </si>
  <si>
    <t>Kalpesh Khochare</t>
  </si>
  <si>
    <t>HelloBaby Pvt. Ltd.</t>
  </si>
  <si>
    <t>7ABCD Kandivali Indl Estate, Near kshatriya chemist &amp;</t>
  </si>
  <si>
    <t>Gaurav Ashtami Hotel, Hindustan Naka,</t>
  </si>
  <si>
    <t>Kandivali West, Mumbai, Maharashtra 400067</t>
  </si>
  <si>
    <t>27AAACH2628A1Z5</t>
  </si>
  <si>
    <t>Vinesh Advani</t>
  </si>
  <si>
    <t>Rajkumar Yadav</t>
  </si>
  <si>
    <t>auto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</si>
</sst>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44" formatCode="_ &quot;₹&quot;\ * #,##0.00_ ;_ &quot;₹&quot;\ * \-#,##0.00_ ;_ &quot;₹&quot;\ * &quot;-&quot;??_ ;_ @_ "/>
    <numFmt numFmtId="164" formatCode="_(&quot;$&quot;* #,##0.00_);_(&quot;$&quot;* \(#,##0.00\);_(&quot;$&quot;* &quot;-&quot;??_);_(@_)"/>
    <numFmt numFmtId="165" formatCode="&quot;₹&quot;\ #,##0.00"/>
    <numFmt numFmtId="166" formatCode="_ [$₹-4009]\ * #,##0.00_ ;_ [$₹-4009]\ * \-#,##0.00_ ;_ [$₹-4009]\ * &quot;-&quot;??_ ;_ @_ "/>
  </numFmts>
  <fonts count="26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</font>
    <font>
      <sz val="11"/>
      <color theme="1"/>
      <name val="Calibri"/>
      <family val="2"/>
    </font>
    <font>
      <u/>
      <sz val="11"/>
      <color theme="10"/>
      <name val="Calibri"/>
      <family val="2"/>
    </font>
    <font>
      <i/>
      <sz val="8"/>
      <color theme="1"/>
      <name val="Calibri"/>
      <family val="2"/>
    </font>
    <font>
      <sz val="9"/>
      <color theme="1"/>
      <name val="Calibri"/>
      <family val="2"/>
    </font>
    <font>
      <u/>
      <sz val="11"/>
      <color theme="10"/>
      <name val="Calibri"/>
      <family val="2"/>
    </font>
    <font>
      <b/>
      <u/>
      <sz val="11"/>
      <color theme="1"/>
      <name val="Calibri"/>
      <family val="2"/>
    </font>
    <font>
      <b/>
      <u/>
      <sz val="11"/>
      <color theme="1"/>
      <name val="Calibri"/>
      <family val="2"/>
    </font>
    <font>
      <u/>
      <sz val="11"/>
      <color theme="1"/>
      <name val="Calibri"/>
      <family val="2"/>
    </font>
    <font>
      <sz val="8"/>
      <color theme="1"/>
      <name val="Calibri"/>
      <family val="2"/>
    </font>
    <font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  <font>
      <sz val="12"/>
      <color theme="1"/>
      <name val="Calibri"/>
      <family val="2"/>
    </font>
    <font>
      <sz val="13"/>
      <color theme="1"/>
      <name val="Calibri"/>
      <family val="2"/>
    </font>
    <font>
      <b/>
      <sz val="13"/>
      <color theme="1"/>
      <name val="Calibri"/>
      <family val="2"/>
    </font>
    <font>
      <sz val="11"/>
      <color theme="10"/>
      <name val="Calibri"/>
      <family val="2"/>
      <scheme val="minor"/>
    </font>
    <font>
      <i/>
      <sz val="11"/>
      <color theme="1"/>
      <name val="Calibri"/>
      <family val="2"/>
    </font>
    <font>
      <sz val="11"/>
      <color rgb="FF212121"/>
      <name val="Calibri"/>
      <family val="2"/>
      <scheme val="major"/>
    </font>
    <font>
      <b/>
      <sz val="12"/>
      <color theme="1"/>
      <name val="Calibri"/>
      <family val="2"/>
    </font>
    <font>
      <sz val="11"/>
      <color theme="1"/>
      <name val="Calibri"/>
      <family val="2"/>
      <scheme val="major"/>
    </font>
    <font>
      <u/>
      <sz val="11"/>
      <color theme="10"/>
      <name val="Calibri"/>
      <family val="2"/>
      <scheme val="major"/>
    </font>
  </fonts>
  <fills count="2">
    <fill>
      <patternFill patternType="none"/>
    </fill>
    <fill>
      <patternFill patternType="gray125"/>
    </fill>
  </fills>
  <borders count="42">
    <border>
      <left/>
      <right/>
      <top/>
      <bottom/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/>
      <right/>
      <top style="medium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/>
      <top/>
      <bottom/>
      <diagonal/>
    </border>
    <border>
      <left/>
      <right style="medium">
        <color rgb="FF000000"/>
      </right>
      <top/>
      <bottom/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 style="medium">
        <color rgb="FF000000"/>
      </right>
      <top/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rgb="FF000000"/>
      </left>
      <right style="medium">
        <color rgb="FF000000"/>
      </right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rgb="FF000000"/>
      </right>
      <top/>
      <bottom style="medium">
        <color indexed="64"/>
      </bottom>
      <diagonal/>
    </border>
    <border>
      <left style="medium">
        <color indexed="64"/>
      </left>
      <right style="medium">
        <color rgb="FF000000"/>
      </right>
      <top style="medium">
        <color indexed="64"/>
      </top>
      <bottom/>
      <diagonal/>
    </border>
    <border>
      <left style="medium">
        <color indexed="64"/>
      </left>
      <right style="medium">
        <color rgb="FF000000"/>
      </right>
      <top/>
      <bottom style="medium">
        <color indexed="64"/>
      </bottom>
      <diagonal/>
    </border>
    <border>
      <left style="medium">
        <color rgb="FF000000"/>
      </left>
      <right/>
      <top/>
      <bottom style="medium">
        <color indexed="64"/>
      </bottom>
      <diagonal/>
    </border>
    <border>
      <left style="medium">
        <color rgb="FF000000"/>
      </left>
      <right style="medium">
        <color rgb="FF000000"/>
      </right>
      <top/>
      <bottom style="medium">
        <color indexed="64"/>
      </bottom>
      <diagonal/>
    </border>
    <border>
      <left style="medium">
        <color rgb="FF000000"/>
      </left>
      <right style="medium">
        <color indexed="64"/>
      </right>
      <top style="medium">
        <color indexed="64"/>
      </top>
      <bottom/>
      <diagonal/>
    </border>
    <border>
      <left style="medium">
        <color rgb="FF000000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rgb="FF000000"/>
      </top>
      <bottom/>
      <diagonal/>
    </border>
    <border>
      <left/>
      <right style="medium">
        <color indexed="64"/>
      </right>
      <top/>
      <bottom style="medium">
        <color rgb="FF000000"/>
      </bottom>
      <diagonal/>
    </border>
    <border>
      <left style="medium">
        <color indexed="64"/>
      </left>
      <right/>
      <top style="medium">
        <color rgb="FF000000"/>
      </top>
      <bottom style="medium">
        <color rgb="FF000000"/>
      </bottom>
      <diagonal/>
    </border>
    <border>
      <left/>
      <right style="medium">
        <color indexed="64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rgb="FF000000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16" fillId="0" borderId="0" applyNumberFormat="0" applyFill="0" applyBorder="0" applyAlignment="0" applyProtection="0"/>
  </cellStyleXfs>
  <cellXfs count="156">
    <xf numFmtId="0" fontId="0" fillId="0" borderId="0" xfId="0"/>
    <xf numFmtId="0" fontId="6" fillId="0" borderId="2" xfId="0" applyFont="1" applyBorder="1"/>
    <xf numFmtId="0" fontId="6" fillId="0" borderId="1" xfId="0" applyFont="1" applyBorder="1"/>
    <xf numFmtId="0" fontId="6" fillId="0" borderId="0" xfId="0" applyFont="1"/>
    <xf numFmtId="0" fontId="6" fillId="0" borderId="4" xfId="0" applyFont="1" applyBorder="1"/>
    <xf numFmtId="0" fontId="6" fillId="0" borderId="5" xfId="0" applyFont="1" applyBorder="1"/>
    <xf numFmtId="0" fontId="6" fillId="0" borderId="3" xfId="0" applyFont="1" applyBorder="1"/>
    <xf numFmtId="0" fontId="6" fillId="0" borderId="6" xfId="0" applyFont="1" applyBorder="1"/>
    <xf numFmtId="0" fontId="6" fillId="0" borderId="8" xfId="0" applyFont="1" applyBorder="1"/>
    <xf numFmtId="0" fontId="6" fillId="0" borderId="0" xfId="0" applyFont="1" applyAlignment="1">
      <alignment horizontal="center"/>
    </xf>
    <xf numFmtId="165" fontId="6" fillId="0" borderId="3" xfId="0" applyNumberFormat="1" applyFont="1" applyBorder="1" applyAlignment="1">
      <alignment horizontal="right"/>
    </xf>
    <xf numFmtId="165" fontId="6" fillId="0" borderId="7" xfId="0" applyNumberFormat="1" applyFont="1" applyBorder="1" applyAlignment="1">
      <alignment horizontal="right"/>
    </xf>
    <xf numFmtId="165" fontId="6" fillId="0" borderId="5" xfId="0" applyNumberFormat="1" applyFont="1" applyBorder="1"/>
    <xf numFmtId="0" fontId="6" fillId="0" borderId="9" xfId="0" applyFont="1" applyBorder="1"/>
    <xf numFmtId="0" fontId="6" fillId="0" borderId="7" xfId="0" applyFont="1" applyBorder="1"/>
    <xf numFmtId="0" fontId="6" fillId="0" borderId="3" xfId="0" applyFont="1" applyBorder="1" applyAlignment="1">
      <alignment horizontal="right"/>
    </xf>
    <xf numFmtId="0" fontId="5" fillId="0" borderId="0" xfId="0" applyFont="1"/>
    <xf numFmtId="0" fontId="5" fillId="0" borderId="8" xfId="0" applyFont="1" applyBorder="1"/>
    <xf numFmtId="0" fontId="13" fillId="0" borderId="4" xfId="0" applyFont="1" applyBorder="1"/>
    <xf numFmtId="0" fontId="14" fillId="0" borderId="4" xfId="0" applyFont="1" applyBorder="1"/>
    <xf numFmtId="0" fontId="14" fillId="0" borderId="6" xfId="0" applyFont="1" applyBorder="1"/>
    <xf numFmtId="165" fontId="6" fillId="0" borderId="15" xfId="0" applyNumberFormat="1" applyFont="1" applyBorder="1"/>
    <xf numFmtId="165" fontId="6" fillId="0" borderId="16" xfId="0" applyNumberFormat="1" applyFont="1" applyBorder="1"/>
    <xf numFmtId="0" fontId="6" fillId="0" borderId="18" xfId="0" applyFont="1" applyBorder="1"/>
    <xf numFmtId="0" fontId="6" fillId="0" borderId="21" xfId="0" applyFont="1" applyBorder="1"/>
    <xf numFmtId="0" fontId="6" fillId="0" borderId="23" xfId="0" applyFont="1" applyBorder="1"/>
    <xf numFmtId="0" fontId="5" fillId="0" borderId="4" xfId="0" applyFont="1" applyBorder="1"/>
    <xf numFmtId="0" fontId="6" fillId="0" borderId="22" xfId="0" applyFont="1" applyBorder="1"/>
    <xf numFmtId="0" fontId="6" fillId="0" borderId="24" xfId="0" applyFont="1" applyBorder="1"/>
    <xf numFmtId="0" fontId="6" fillId="0" borderId="25" xfId="0" applyFont="1" applyBorder="1"/>
    <xf numFmtId="0" fontId="6" fillId="0" borderId="27" xfId="0" applyFont="1" applyBorder="1"/>
    <xf numFmtId="0" fontId="6" fillId="0" borderId="28" xfId="0" applyFont="1" applyBorder="1"/>
    <xf numFmtId="0" fontId="4" fillId="0" borderId="0" xfId="0" applyFont="1"/>
    <xf numFmtId="0" fontId="6" fillId="0" borderId="17" xfId="0" applyFont="1" applyBorder="1"/>
    <xf numFmtId="0" fontId="6" fillId="0" borderId="20" xfId="0" applyFont="1" applyBorder="1"/>
    <xf numFmtId="0" fontId="19" fillId="0" borderId="1" xfId="0" applyFont="1" applyBorder="1"/>
    <xf numFmtId="0" fontId="18" fillId="0" borderId="2" xfId="0" applyFont="1" applyBorder="1"/>
    <xf numFmtId="0" fontId="18" fillId="0" borderId="4" xfId="0" applyFont="1" applyBorder="1"/>
    <xf numFmtId="0" fontId="18" fillId="0" borderId="0" xfId="0" applyFont="1"/>
    <xf numFmtId="9" fontId="6" fillId="0" borderId="11" xfId="0" applyNumberFormat="1" applyFont="1" applyBorder="1" applyAlignment="1">
      <alignment horizontal="right"/>
    </xf>
    <xf numFmtId="2" fontId="6" fillId="0" borderId="11" xfId="0" applyNumberFormat="1" applyFont="1" applyBorder="1"/>
    <xf numFmtId="0" fontId="11" fillId="0" borderId="0" xfId="0" applyFont="1" applyAlignment="1">
      <alignment horizontal="right"/>
    </xf>
    <xf numFmtId="0" fontId="12" fillId="0" borderId="0" xfId="0" applyFont="1"/>
    <xf numFmtId="0" fontId="5" fillId="0" borderId="18" xfId="0" applyFont="1" applyBorder="1" applyAlignment="1">
      <alignment horizontal="left"/>
    </xf>
    <xf numFmtId="0" fontId="5" fillId="0" borderId="22" xfId="0" applyFont="1" applyBorder="1"/>
    <xf numFmtId="0" fontId="6" fillId="0" borderId="11" xfId="0" applyFont="1" applyBorder="1" applyAlignment="1">
      <alignment horizontal="center" vertical="center"/>
    </xf>
    <xf numFmtId="0" fontId="9" fillId="0" borderId="12" xfId="0" applyFont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6" fillId="0" borderId="5" xfId="0" applyFont="1" applyBorder="1" applyAlignment="1">
      <alignment horizontal="center" vertical="center"/>
    </xf>
    <xf numFmtId="0" fontId="10" fillId="0" borderId="0" xfId="0" applyFont="1"/>
    <xf numFmtId="9" fontId="6" fillId="0" borderId="11" xfId="0" applyNumberFormat="1" applyFont="1" applyBorder="1"/>
    <xf numFmtId="0" fontId="5" fillId="0" borderId="17" xfId="0" applyFont="1" applyBorder="1" applyAlignment="1">
      <alignment horizontal="right"/>
    </xf>
    <xf numFmtId="0" fontId="10" fillId="0" borderId="18" xfId="0" applyFont="1" applyBorder="1"/>
    <xf numFmtId="0" fontId="10" fillId="0" borderId="19" xfId="0" applyFont="1" applyBorder="1"/>
    <xf numFmtId="44" fontId="6" fillId="0" borderId="21" xfId="0" applyNumberFormat="1" applyFont="1" applyBorder="1"/>
    <xf numFmtId="166" fontId="6" fillId="0" borderId="21" xfId="0" applyNumberFormat="1" applyFont="1" applyBorder="1"/>
    <xf numFmtId="166" fontId="6" fillId="0" borderId="39" xfId="0" applyNumberFormat="1" applyFont="1" applyBorder="1"/>
    <xf numFmtId="0" fontId="6" fillId="0" borderId="20" xfId="0" applyFont="1" applyBorder="1" applyAlignment="1">
      <alignment vertical="top"/>
    </xf>
    <xf numFmtId="0" fontId="6" fillId="0" borderId="0" xfId="0" applyFont="1" applyAlignment="1">
      <alignment vertical="top"/>
    </xf>
    <xf numFmtId="0" fontId="18" fillId="0" borderId="22" xfId="0" applyFont="1" applyBorder="1"/>
    <xf numFmtId="0" fontId="18" fillId="0" borderId="24" xfId="0" applyFont="1" applyBorder="1"/>
    <xf numFmtId="0" fontId="17" fillId="0" borderId="0" xfId="0" applyFont="1"/>
    <xf numFmtId="0" fontId="17" fillId="0" borderId="21" xfId="0" applyFont="1" applyBorder="1"/>
    <xf numFmtId="0" fontId="6" fillId="0" borderId="21" xfId="0" applyFont="1" applyBorder="1" applyAlignment="1">
      <alignment vertical="top"/>
    </xf>
    <xf numFmtId="0" fontId="6" fillId="0" borderId="23" xfId="0" applyFont="1" applyBorder="1" applyAlignment="1">
      <alignment vertical="top"/>
    </xf>
    <xf numFmtId="0" fontId="6" fillId="0" borderId="24" xfId="0" applyFont="1" applyBorder="1" applyAlignment="1">
      <alignment vertical="top"/>
    </xf>
    <xf numFmtId="0" fontId="20" fillId="0" borderId="23" xfId="1" applyFont="1" applyBorder="1" applyAlignment="1">
      <alignment vertical="top"/>
    </xf>
    <xf numFmtId="0" fontId="6" fillId="0" borderId="18" xfId="0" applyFont="1" applyBorder="1" applyAlignment="1">
      <alignment vertical="top"/>
    </xf>
    <xf numFmtId="0" fontId="6" fillId="0" borderId="20" xfId="0" applyFont="1" applyBorder="1" applyAlignment="1">
      <alignment wrapText="1"/>
    </xf>
    <xf numFmtId="0" fontId="6" fillId="0" borderId="19" xfId="0" applyFont="1" applyBorder="1" applyAlignment="1">
      <alignment vertical="top"/>
    </xf>
    <xf numFmtId="0" fontId="16" fillId="0" borderId="0" xfId="1" applyAlignment="1"/>
    <xf numFmtId="0" fontId="21" fillId="0" borderId="21" xfId="0" applyFont="1" applyBorder="1" applyAlignment="1">
      <alignment horizontal="right" vertical="top"/>
    </xf>
    <xf numFmtId="0" fontId="22" fillId="0" borderId="0" xfId="0" applyFont="1"/>
    <xf numFmtId="0" fontId="6" fillId="0" borderId="0" xfId="0" applyFont="1" applyAlignment="1">
      <alignment horizontal="left" vertical="top"/>
    </xf>
    <xf numFmtId="0" fontId="3" fillId="0" borderId="14" xfId="0" applyFont="1" applyBorder="1"/>
    <xf numFmtId="0" fontId="6" fillId="0" borderId="15" xfId="0" applyFont="1" applyBorder="1"/>
    <xf numFmtId="0" fontId="6" fillId="0" borderId="16" xfId="0" applyFont="1" applyBorder="1" applyAlignment="1">
      <alignment horizontal="left"/>
    </xf>
    <xf numFmtId="0" fontId="24" fillId="0" borderId="0" xfId="0" applyFont="1" applyAlignment="1">
      <alignment horizontal="center"/>
    </xf>
    <xf numFmtId="0" fontId="24" fillId="0" borderId="0" xfId="0" applyFont="1"/>
    <xf numFmtId="0" fontId="25" fillId="0" borderId="0" xfId="1" applyFont="1" applyAlignment="1"/>
    <xf numFmtId="0" fontId="2" fillId="0" borderId="0" xfId="0" applyFont="1"/>
    <xf numFmtId="0" fontId="23" fillId="0" borderId="1" xfId="0" applyFont="1" applyBorder="1" applyAlignment="1">
      <alignment horizontal="center"/>
    </xf>
    <xf numFmtId="0" fontId="23" fillId="0" borderId="3" xfId="0" applyFont="1" applyBorder="1" applyAlignment="1">
      <alignment horizontal="center"/>
    </xf>
    <xf numFmtId="14" fontId="17" fillId="0" borderId="6" xfId="0" applyNumberFormat="1" applyFont="1" applyBorder="1" applyAlignment="1">
      <alignment horizontal="left"/>
    </xf>
    <xf numFmtId="14" fontId="17" fillId="0" borderId="7" xfId="0" applyNumberFormat="1" applyFont="1" applyBorder="1" applyAlignment="1">
      <alignment horizontal="left"/>
    </xf>
    <xf numFmtId="164" fontId="23" fillId="0" borderId="1" xfId="0" applyNumberFormat="1" applyFont="1" applyBorder="1" applyAlignment="1">
      <alignment horizontal="center"/>
    </xf>
    <xf numFmtId="164" fontId="23" fillId="0" borderId="3" xfId="0" applyNumberFormat="1" applyFont="1" applyBorder="1" applyAlignment="1">
      <alignment horizontal="center"/>
    </xf>
    <xf numFmtId="0" fontId="17" fillId="0" borderId="6" xfId="0" applyFont="1" applyBorder="1" applyAlignment="1">
      <alignment horizontal="left"/>
    </xf>
    <xf numFmtId="0" fontId="17" fillId="0" borderId="7" xfId="0" applyFont="1" applyBorder="1" applyAlignment="1">
      <alignment horizontal="left"/>
    </xf>
    <xf numFmtId="0" fontId="5" fillId="0" borderId="14" xfId="0" applyFont="1" applyBorder="1" applyAlignment="1">
      <alignment horizontal="center" vertical="center" wrapText="1"/>
    </xf>
    <xf numFmtId="0" fontId="5" fillId="0" borderId="16" xfId="0" applyFont="1" applyBorder="1" applyAlignment="1">
      <alignment horizontal="center" vertical="center" wrapText="1"/>
    </xf>
    <xf numFmtId="0" fontId="17" fillId="0" borderId="17" xfId="0" applyFont="1" applyBorder="1" applyAlignment="1">
      <alignment horizontal="left" vertical="top"/>
    </xf>
    <xf numFmtId="0" fontId="17" fillId="0" borderId="18" xfId="0" applyFont="1" applyBorder="1" applyAlignment="1">
      <alignment horizontal="left" vertical="top"/>
    </xf>
    <xf numFmtId="0" fontId="17" fillId="0" borderId="19" xfId="0" applyFont="1" applyBorder="1" applyAlignment="1">
      <alignment horizontal="left" vertical="top"/>
    </xf>
    <xf numFmtId="0" fontId="17" fillId="0" borderId="20" xfId="0" applyFont="1" applyBorder="1" applyAlignment="1">
      <alignment horizontal="left" vertical="top"/>
    </xf>
    <xf numFmtId="0" fontId="17" fillId="0" borderId="0" xfId="0" applyFont="1" applyAlignment="1">
      <alignment horizontal="left" vertical="top"/>
    </xf>
    <xf numFmtId="0" fontId="17" fillId="0" borderId="21" xfId="0" applyFont="1" applyBorder="1" applyAlignment="1">
      <alignment horizontal="left" vertical="top"/>
    </xf>
    <xf numFmtId="0" fontId="17" fillId="0" borderId="22" xfId="0" applyFont="1" applyBorder="1" applyAlignment="1">
      <alignment horizontal="left" vertical="top"/>
    </xf>
    <xf numFmtId="0" fontId="17" fillId="0" borderId="23" xfId="0" applyFont="1" applyBorder="1" applyAlignment="1">
      <alignment horizontal="left" vertical="top"/>
    </xf>
    <xf numFmtId="0" fontId="17" fillId="0" borderId="24" xfId="0" applyFont="1" applyBorder="1" applyAlignment="1">
      <alignment horizontal="left" vertical="top"/>
    </xf>
    <xf numFmtId="0" fontId="5" fillId="0" borderId="26" xfId="0" applyFont="1" applyBorder="1" applyAlignment="1">
      <alignment horizontal="center" vertical="center"/>
    </xf>
    <xf numFmtId="0" fontId="5" fillId="0" borderId="33" xfId="0" applyFont="1" applyBorder="1" applyAlignment="1">
      <alignment horizontal="center" vertical="center"/>
    </xf>
    <xf numFmtId="0" fontId="5" fillId="0" borderId="34" xfId="0" applyFont="1" applyBorder="1" applyAlignment="1">
      <alignment horizontal="center" vertical="center"/>
    </xf>
    <xf numFmtId="0" fontId="5" fillId="0" borderId="35" xfId="0" applyFont="1" applyBorder="1" applyAlignment="1">
      <alignment horizontal="center" vertical="center"/>
    </xf>
    <xf numFmtId="0" fontId="17" fillId="0" borderId="22" xfId="0" applyFont="1" applyBorder="1"/>
    <xf numFmtId="0" fontId="17" fillId="0" borderId="23" xfId="0" applyFont="1" applyBorder="1"/>
    <xf numFmtId="0" fontId="23" fillId="0" borderId="17" xfId="0" applyFont="1" applyBorder="1" applyAlignment="1">
      <alignment horizontal="center"/>
    </xf>
    <xf numFmtId="0" fontId="23" fillId="0" borderId="19" xfId="0" applyFont="1" applyBorder="1" applyAlignment="1">
      <alignment horizontal="center"/>
    </xf>
    <xf numFmtId="0" fontId="6" fillId="0" borderId="1" xfId="0" applyFont="1" applyBorder="1" applyAlignment="1">
      <alignment horizontal="center" vertical="center"/>
    </xf>
    <xf numFmtId="0" fontId="6" fillId="0" borderId="2" xfId="0" applyFont="1" applyBorder="1" applyAlignment="1">
      <alignment horizontal="center" vertical="center"/>
    </xf>
    <xf numFmtId="0" fontId="6" fillId="0" borderId="36" xfId="0" applyFont="1" applyBorder="1" applyAlignment="1">
      <alignment horizontal="center" vertical="center"/>
    </xf>
    <xf numFmtId="0" fontId="6" fillId="0" borderId="6" xfId="0" applyFont="1" applyBorder="1" applyAlignment="1">
      <alignment horizontal="center" vertical="center"/>
    </xf>
    <xf numFmtId="0" fontId="6" fillId="0" borderId="8" xfId="0" applyFont="1" applyBorder="1" applyAlignment="1">
      <alignment horizontal="center" vertical="center"/>
    </xf>
    <xf numFmtId="0" fontId="6" fillId="0" borderId="37" xfId="0" applyFont="1" applyBorder="1" applyAlignment="1">
      <alignment horizontal="center" vertical="center"/>
    </xf>
    <xf numFmtId="0" fontId="6" fillId="0" borderId="38" xfId="0" applyFont="1" applyBorder="1" applyAlignment="1">
      <alignment horizontal="center" vertical="center"/>
    </xf>
    <xf numFmtId="0" fontId="6" fillId="0" borderId="10" xfId="0" applyFont="1" applyBorder="1" applyAlignment="1">
      <alignment horizontal="center" vertical="center"/>
    </xf>
    <xf numFmtId="0" fontId="17" fillId="0" borderId="32" xfId="0" applyFont="1" applyBorder="1" applyAlignment="1">
      <alignment horizontal="left"/>
    </xf>
    <xf numFmtId="0" fontId="17" fillId="0" borderId="29" xfId="0" applyFont="1" applyBorder="1" applyAlignment="1">
      <alignment horizontal="left"/>
    </xf>
    <xf numFmtId="0" fontId="5" fillId="0" borderId="30" xfId="0" applyFont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5" fillId="0" borderId="21" xfId="0" applyFont="1" applyBorder="1" applyAlignment="1">
      <alignment horizontal="center" vertical="center"/>
    </xf>
    <xf numFmtId="0" fontId="17" fillId="0" borderId="23" xfId="0" applyFont="1" applyBorder="1" applyAlignment="1">
      <alignment horizontal="left"/>
    </xf>
    <xf numFmtId="0" fontId="17" fillId="0" borderId="24" xfId="0" applyFont="1" applyBorder="1" applyAlignment="1">
      <alignment horizontal="left"/>
    </xf>
    <xf numFmtId="14" fontId="17" fillId="0" borderId="22" xfId="0" applyNumberFormat="1" applyFont="1" applyBorder="1" applyAlignment="1">
      <alignment horizontal="left" vertical="top"/>
    </xf>
    <xf numFmtId="0" fontId="17" fillId="0" borderId="20" xfId="0" applyFont="1" applyBorder="1"/>
    <xf numFmtId="0" fontId="17" fillId="0" borderId="0" xfId="0" applyFont="1"/>
    <xf numFmtId="0" fontId="18" fillId="0" borderId="17" xfId="0" applyFont="1" applyBorder="1"/>
    <xf numFmtId="0" fontId="18" fillId="0" borderId="18" xfId="0" applyFont="1" applyBorder="1"/>
    <xf numFmtId="0" fontId="17" fillId="0" borderId="20" xfId="0" applyFont="1" applyBorder="1" applyAlignment="1">
      <alignment horizontal="left"/>
    </xf>
    <xf numFmtId="0" fontId="17" fillId="0" borderId="0" xfId="0" applyFont="1" applyAlignment="1">
      <alignment horizontal="left"/>
    </xf>
    <xf numFmtId="164" fontId="17" fillId="0" borderId="32" xfId="0" applyNumberFormat="1" applyFont="1" applyBorder="1" applyAlignment="1">
      <alignment horizontal="left"/>
    </xf>
    <xf numFmtId="164" fontId="17" fillId="0" borderId="29" xfId="0" applyNumberFormat="1" applyFont="1" applyBorder="1" applyAlignment="1">
      <alignment horizontal="left"/>
    </xf>
    <xf numFmtId="0" fontId="17" fillId="0" borderId="22" xfId="0" applyFont="1" applyBorder="1" applyAlignment="1">
      <alignment horizontal="left"/>
    </xf>
    <xf numFmtId="12" fontId="5" fillId="0" borderId="0" xfId="0" applyNumberFormat="1" applyFont="1" applyAlignment="1">
      <alignment horizontal="left"/>
    </xf>
    <xf numFmtId="0" fontId="7" fillId="0" borderId="0" xfId="0" applyFont="1" applyAlignment="1">
      <alignment horizontal="right"/>
    </xf>
    <xf numFmtId="0" fontId="7" fillId="0" borderId="21" xfId="0" applyFont="1" applyBorder="1" applyAlignment="1">
      <alignment horizontal="right"/>
    </xf>
    <xf numFmtId="0" fontId="6" fillId="0" borderId="0" xfId="0" applyFont="1" applyAlignment="1">
      <alignment horizontal="right"/>
    </xf>
    <xf numFmtId="0" fontId="6" fillId="0" borderId="21" xfId="0" applyFont="1" applyBorder="1" applyAlignment="1">
      <alignment horizontal="right"/>
    </xf>
    <xf numFmtId="0" fontId="8" fillId="0" borderId="23" xfId="0" applyFont="1" applyBorder="1" applyAlignment="1">
      <alignment horizontal="right"/>
    </xf>
    <xf numFmtId="0" fontId="8" fillId="0" borderId="24" xfId="0" applyFont="1" applyBorder="1" applyAlignment="1">
      <alignment horizontal="right"/>
    </xf>
    <xf numFmtId="4" fontId="6" fillId="0" borderId="40" xfId="0" applyNumberFormat="1" applyFont="1" applyBorder="1" applyAlignment="1">
      <alignment horizontal="right" vertical="center"/>
    </xf>
    <xf numFmtId="4" fontId="6" fillId="0" borderId="41" xfId="0" applyNumberFormat="1" applyFont="1" applyBorder="1" applyAlignment="1">
      <alignment horizontal="right" vertical="center"/>
    </xf>
    <xf numFmtId="0" fontId="6" fillId="0" borderId="17" xfId="0" applyFont="1" applyBorder="1" applyAlignment="1">
      <alignment horizontal="center" vertical="center"/>
    </xf>
    <xf numFmtId="0" fontId="6" fillId="0" borderId="19" xfId="0" applyFont="1" applyBorder="1" applyAlignment="1">
      <alignment horizontal="center" vertical="center"/>
    </xf>
    <xf numFmtId="0" fontId="6" fillId="0" borderId="22" xfId="0" applyFont="1" applyBorder="1" applyAlignment="1">
      <alignment horizontal="center" vertical="center"/>
    </xf>
    <xf numFmtId="0" fontId="6" fillId="0" borderId="24" xfId="0" applyFont="1" applyBorder="1" applyAlignment="1">
      <alignment horizontal="center" vertical="center"/>
    </xf>
    <xf numFmtId="0" fontId="17" fillId="0" borderId="21" xfId="0" applyFont="1" applyBorder="1"/>
    <xf numFmtId="0" fontId="18" fillId="0" borderId="19" xfId="0" applyFont="1" applyBorder="1"/>
    <xf numFmtId="0" fontId="6" fillId="0" borderId="9" xfId="0" applyFont="1" applyBorder="1" applyAlignment="1">
      <alignment horizontal="center" vertical="center"/>
    </xf>
    <xf numFmtId="0" fontId="1" fillId="0" borderId="17" xfId="0" applyFont="1" applyBorder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4</xdr:row>
          <xdr:rowOff>180975</xdr:rowOff>
        </xdr:from>
        <xdr:to>
          <xdr:col>11</xdr:col>
          <xdr:colOff>552450</xdr:colOff>
          <xdr:row>6</xdr:row>
          <xdr:rowOff>19050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19050</xdr:colOff>
          <xdr:row>4</xdr:row>
          <xdr:rowOff>190500</xdr:rowOff>
        </xdr:from>
        <xdr:to>
          <xdr:col>13</xdr:col>
          <xdr:colOff>66675</xdr:colOff>
          <xdr:row>6</xdr:row>
          <xdr:rowOff>19050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 only</a:t>
              </a:r>
            </a:p>
            <a:p>
              <a:pPr algn="ctr" rtl="0">
                <a:defRPr sz="1000"/>
              </a:pPr>
              <a:endParaRPr lang="en-IN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104775</xdr:colOff>
          <xdr:row>4</xdr:row>
          <xdr:rowOff>180975</xdr:rowOff>
        </xdr:from>
        <xdr:to>
          <xdr:col>14</xdr:col>
          <xdr:colOff>152400</xdr:colOff>
          <xdr:row>6</xdr:row>
          <xdr:rowOff>9525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Send only</a:t>
              </a:r>
            </a:p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Send Only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161925</xdr:colOff>
          <xdr:row>4</xdr:row>
          <xdr:rowOff>190500</xdr:rowOff>
        </xdr:from>
        <xdr:to>
          <xdr:col>15</xdr:col>
          <xdr:colOff>190500</xdr:colOff>
          <xdr:row>6</xdr:row>
          <xdr:rowOff>28575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Ledger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.xml"/><Relationship Id="rId3" Type="http://schemas.openxmlformats.org/officeDocument/2006/relationships/hyperlink" Target="mailto:HBAGARIA2007@GMAIL.COM" TargetMode="External"/><Relationship Id="rId7" Type="http://schemas.openxmlformats.org/officeDocument/2006/relationships/ctrlProp" Target="../ctrlProps/ctrlProp1.xml"/><Relationship Id="rId2" Type="http://schemas.openxmlformats.org/officeDocument/2006/relationships/hyperlink" Target="about:blank" TargetMode="External"/><Relationship Id="rId1" Type="http://schemas.openxmlformats.org/officeDocument/2006/relationships/hyperlink" Target="about:blank" TargetMode="External"/><Relationship Id="rId6" Type="http://schemas.openxmlformats.org/officeDocument/2006/relationships/vmlDrawing" Target="../drawings/vmlDrawing1.vml"/><Relationship Id="rId11" Type="http://schemas.openxmlformats.org/officeDocument/2006/relationships/comments" Target="../comments1.xml"/><Relationship Id="rId5" Type="http://schemas.openxmlformats.org/officeDocument/2006/relationships/drawing" Target="../drawings/drawing1.xml"/><Relationship Id="rId10" Type="http://schemas.openxmlformats.org/officeDocument/2006/relationships/ctrlProp" Target="../ctrlProps/ctrlProp4.xml"/><Relationship Id="rId4" Type="http://schemas.openxmlformats.org/officeDocument/2006/relationships/printerSettings" Target="../printerSettings/printerSettings1.bin"/><Relationship Id="rId9" Type="http://schemas.openxmlformats.org/officeDocument/2006/relationships/ctrlProp" Target="../ctrlProps/ctrlProp3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mailto:harshpackaging76@gmail.com" TargetMode="External"/><Relationship Id="rId3" Type="http://schemas.openxmlformats.org/officeDocument/2006/relationships/hyperlink" Target="mailto:jbentps@gmail.com" TargetMode="External"/><Relationship Id="rId7" Type="http://schemas.openxmlformats.org/officeDocument/2006/relationships/hyperlink" Target="mailto:vishal_automats@hotmail.com" TargetMode="External"/><Relationship Id="rId2" Type="http://schemas.openxmlformats.org/officeDocument/2006/relationships/hyperlink" Target="mailto:sagar@hemaelectrical.com" TargetMode="External"/><Relationship Id="rId1" Type="http://schemas.openxmlformats.org/officeDocument/2006/relationships/hyperlink" Target="mailto:jcengineeringwork7@gmail.com" TargetMode="External"/><Relationship Id="rId6" Type="http://schemas.openxmlformats.org/officeDocument/2006/relationships/hyperlink" Target="mailto:shriram_enterprises501@rediffmail.com" TargetMode="External"/><Relationship Id="rId5" Type="http://schemas.openxmlformats.org/officeDocument/2006/relationships/hyperlink" Target="mailto:sentripowersolutions7@gmail.com" TargetMode="External"/><Relationship Id="rId4" Type="http://schemas.openxmlformats.org/officeDocument/2006/relationships/hyperlink" Target="mailto:vishal_automats@hotmail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K1001"/>
  <sheetViews>
    <sheetView showZeros="0" tabSelected="1" view="pageLayout" zoomScaleNormal="100" workbookViewId="0">
      <selection activeCell="C7" sqref="C7:F7"/>
    </sheetView>
  </sheetViews>
  <sheetFormatPr defaultColWidth="14.42578125" defaultRowHeight="15" customHeight="1" x14ac:dyDescent="0.25"/>
  <cols>
    <col min="1" max="1" width="4.5703125" customWidth="1"/>
    <col min="2" max="2" width="8.28515625" customWidth="1"/>
    <col min="3" max="3" width="12.5703125" customWidth="1"/>
    <col min="4" max="4" width="8.140625" customWidth="1"/>
    <col min="5" max="5" width="11" customWidth="1"/>
    <col min="6" max="6" width="9.5703125" customWidth="1"/>
    <col min="7" max="7" width="11.42578125" customWidth="1"/>
    <col min="8" max="8" width="9.7109375" customWidth="1"/>
    <col min="9" max="9" width="9.140625" customWidth="1"/>
    <col min="10" max="10" width="17.5703125" customWidth="1"/>
    <col min="11" max="27" width="8.7109375" customWidth="1"/>
  </cols>
  <sheetData>
    <row r="1" spans="1:11" s="32" customFormat="1" ht="15.95" customHeight="1" x14ac:dyDescent="0.3">
      <c r="A1" s="35" t="s">
        <v>0</v>
      </c>
      <c r="B1" s="36"/>
      <c r="C1" s="36"/>
      <c r="D1" s="36"/>
      <c r="E1" s="36"/>
      <c r="F1" s="36"/>
      <c r="G1" s="82" t="s">
        <v>58</v>
      </c>
      <c r="H1" s="83"/>
      <c r="I1" s="82" t="s">
        <v>52</v>
      </c>
      <c r="J1" s="83"/>
      <c r="K1" s="3"/>
    </row>
    <row r="2" spans="1:11" s="32" customFormat="1" ht="15.95" customHeight="1" thickBot="1" x14ac:dyDescent="0.35">
      <c r="A2" s="37" t="s">
        <v>1</v>
      </c>
      <c r="B2" s="38"/>
      <c r="C2" s="38"/>
      <c r="D2" s="38"/>
      <c r="E2" s="38"/>
      <c r="F2" s="38"/>
      <c r="G2" s="88"/>
      <c r="H2" s="89"/>
      <c r="I2" s="84">
        <f ca="1">TODAY()</f>
        <v>45329</v>
      </c>
      <c r="J2" s="85"/>
      <c r="K2" s="3"/>
    </row>
    <row r="3" spans="1:11" s="32" customFormat="1" ht="15.95" customHeight="1" x14ac:dyDescent="0.3">
      <c r="A3" s="37" t="s">
        <v>2</v>
      </c>
      <c r="B3" s="38"/>
      <c r="C3" s="38"/>
      <c r="D3" s="38"/>
      <c r="E3" s="38"/>
      <c r="F3" s="38"/>
      <c r="G3" s="82" t="s">
        <v>59</v>
      </c>
      <c r="H3" s="83"/>
      <c r="I3" s="82" t="s">
        <v>52</v>
      </c>
      <c r="J3" s="83"/>
      <c r="K3" s="3"/>
    </row>
    <row r="4" spans="1:11" s="32" customFormat="1" ht="15.95" customHeight="1" thickBot="1" x14ac:dyDescent="0.35">
      <c r="A4" s="37" t="s">
        <v>3</v>
      </c>
      <c r="B4" s="38"/>
      <c r="C4" s="38"/>
      <c r="D4" s="38"/>
      <c r="E4" s="38"/>
      <c r="F4" s="38"/>
      <c r="G4" s="88">
        <f>G2</f>
        <v>0</v>
      </c>
      <c r="H4" s="89"/>
      <c r="I4" s="84">
        <f ca="1">I2</f>
        <v>45329</v>
      </c>
      <c r="J4" s="85"/>
      <c r="K4" s="3"/>
    </row>
    <row r="5" spans="1:11" s="32" customFormat="1" ht="15.95" customHeight="1" x14ac:dyDescent="0.3">
      <c r="A5" s="37" t="s">
        <v>4</v>
      </c>
      <c r="B5" s="38"/>
      <c r="C5" s="38"/>
      <c r="D5" s="38"/>
      <c r="E5" s="38"/>
      <c r="F5" s="38"/>
      <c r="G5" s="86" t="s">
        <v>54</v>
      </c>
      <c r="H5" s="87"/>
      <c r="I5" s="82" t="s">
        <v>53</v>
      </c>
      <c r="J5" s="83"/>
      <c r="K5" s="3"/>
    </row>
    <row r="6" spans="1:11" s="32" customFormat="1" ht="15.95" customHeight="1" thickBot="1" x14ac:dyDescent="0.35">
      <c r="A6" s="37" t="s">
        <v>5</v>
      </c>
      <c r="B6" s="38"/>
      <c r="C6" s="38"/>
      <c r="D6" s="38"/>
      <c r="E6" s="38"/>
      <c r="F6" s="38"/>
      <c r="G6" s="136" t="s">
        <v>6</v>
      </c>
      <c r="H6" s="137"/>
      <c r="I6" s="117" t="s">
        <v>245</v>
      </c>
      <c r="J6" s="118"/>
      <c r="K6" s="3"/>
    </row>
    <row r="7" spans="1:11" ht="15.95" customHeight="1" x14ac:dyDescent="0.3">
      <c r="A7" s="132" t="s">
        <v>42</v>
      </c>
      <c r="B7" s="133"/>
      <c r="C7" s="133"/>
      <c r="D7" s="133"/>
      <c r="E7" s="133"/>
      <c r="F7" s="153"/>
      <c r="G7" s="107" t="s">
        <v>50</v>
      </c>
      <c r="H7" s="108"/>
      <c r="I7" s="107" t="s">
        <v>52</v>
      </c>
      <c r="J7" s="108"/>
      <c r="K7" s="3"/>
    </row>
    <row r="8" spans="1:11" ht="15.95" customHeight="1" thickBot="1" x14ac:dyDescent="0.3">
      <c r="A8" s="130" t="str">
        <f>IFERROR(VLOOKUP(C7,Sheet2!A:I,2,0),"")</f>
        <v/>
      </c>
      <c r="B8" s="131"/>
      <c r="C8" s="131"/>
      <c r="D8" s="131"/>
      <c r="E8" s="131"/>
      <c r="F8" s="152"/>
      <c r="G8" s="138" t="s">
        <v>56</v>
      </c>
      <c r="H8" s="128"/>
      <c r="I8" s="129">
        <f ca="1">I4</f>
        <v>45329</v>
      </c>
      <c r="J8" s="100"/>
      <c r="K8" s="3"/>
    </row>
    <row r="9" spans="1:11" ht="15.95" customHeight="1" x14ac:dyDescent="0.25">
      <c r="A9" s="130" t="str">
        <f>IFERROR(VLOOKUP(C7,Sheet2!A:I,3,0),"")</f>
        <v/>
      </c>
      <c r="B9" s="131"/>
      <c r="C9" s="131"/>
      <c r="D9" s="131"/>
      <c r="E9" s="131"/>
      <c r="F9" s="152"/>
      <c r="G9" s="107" t="s">
        <v>51</v>
      </c>
      <c r="H9" s="108"/>
      <c r="I9" s="107" t="s">
        <v>55</v>
      </c>
      <c r="J9" s="108"/>
      <c r="K9" s="3"/>
    </row>
    <row r="10" spans="1:11" ht="15.95" customHeight="1" thickBot="1" x14ac:dyDescent="0.35">
      <c r="A10" s="130" t="str">
        <f>IFERROR(VLOOKUP(C7,Sheet2!A:I,4,0),"")</f>
        <v/>
      </c>
      <c r="B10" s="131"/>
      <c r="C10" s="131"/>
      <c r="D10" s="131"/>
      <c r="E10" s="131"/>
      <c r="F10" s="152"/>
      <c r="G10" s="127">
        <f>G4</f>
        <v>0</v>
      </c>
      <c r="H10" s="128"/>
      <c r="I10" s="60" t="str">
        <f>IFERROR(VLOOKUP(C7,Sheet2!A:I,9,0),"")</f>
        <v/>
      </c>
      <c r="J10" s="61"/>
      <c r="K10" s="3"/>
    </row>
    <row r="11" spans="1:11" ht="15.95" customHeight="1" x14ac:dyDescent="0.25">
      <c r="A11" s="130" t="s">
        <v>40</v>
      </c>
      <c r="B11" s="131"/>
      <c r="C11" s="131" t="str">
        <f>IFERROR(VLOOKUP(C7,Sheet2!A:I,5,0),"")</f>
        <v/>
      </c>
      <c r="D11" s="131"/>
      <c r="E11" s="131"/>
      <c r="F11" s="152"/>
      <c r="G11" s="92" t="s">
        <v>57</v>
      </c>
      <c r="H11" s="93"/>
      <c r="I11" s="93"/>
      <c r="J11" s="94"/>
      <c r="K11" s="3"/>
    </row>
    <row r="12" spans="1:11" ht="15.95" customHeight="1" x14ac:dyDescent="0.25">
      <c r="A12" s="134" t="s">
        <v>47</v>
      </c>
      <c r="B12" s="135"/>
      <c r="C12" s="62" t="str">
        <f>MID(C11, 3, 10)</f>
        <v/>
      </c>
      <c r="D12" s="62"/>
      <c r="E12" s="62"/>
      <c r="F12" s="63"/>
      <c r="G12" s="95"/>
      <c r="H12" s="96"/>
      <c r="I12" s="96"/>
      <c r="J12" s="97"/>
      <c r="K12" s="3"/>
    </row>
    <row r="13" spans="1:11" ht="15.95" customHeight="1" x14ac:dyDescent="0.25">
      <c r="A13" s="134" t="s">
        <v>48</v>
      </c>
      <c r="B13" s="135"/>
      <c r="C13" s="3" t="str">
        <f>IFERROR(VLOOKUP(C7,Sheet2!A:I,6,0),"")</f>
        <v/>
      </c>
      <c r="D13" s="3"/>
      <c r="E13" s="3"/>
      <c r="F13" s="24"/>
      <c r="G13" s="95"/>
      <c r="H13" s="96"/>
      <c r="I13" s="96"/>
      <c r="J13" s="97"/>
      <c r="K13" s="3"/>
    </row>
    <row r="14" spans="1:11" ht="15.95" customHeight="1" x14ac:dyDescent="0.25">
      <c r="A14" s="130" t="s">
        <v>49</v>
      </c>
      <c r="B14" s="131"/>
      <c r="C14" s="74" t="str">
        <f>IFERROR(VLOOKUP(C7,Sheet2!A:I,7,0),"")</f>
        <v/>
      </c>
      <c r="D14" s="59"/>
      <c r="E14" s="59"/>
      <c r="F14" s="64"/>
      <c r="G14" s="95"/>
      <c r="H14" s="96"/>
      <c r="I14" s="96"/>
      <c r="J14" s="97"/>
      <c r="K14" s="3"/>
    </row>
    <row r="15" spans="1:11" ht="15.95" customHeight="1" thickBot="1" x14ac:dyDescent="0.3">
      <c r="A15" s="105" t="s">
        <v>60</v>
      </c>
      <c r="B15" s="106"/>
      <c r="C15" s="67" t="str">
        <f>IFERROR(VLOOKUP(C7,Sheet2!A:I,8,0),"")</f>
        <v/>
      </c>
      <c r="D15" s="65"/>
      <c r="E15" s="65"/>
      <c r="F15" s="66"/>
      <c r="G15" s="98"/>
      <c r="H15" s="99"/>
      <c r="I15" s="99"/>
      <c r="J15" s="100"/>
      <c r="K15" s="3"/>
    </row>
    <row r="16" spans="1:11" x14ac:dyDescent="0.25">
      <c r="A16" s="90" t="s">
        <v>62</v>
      </c>
      <c r="B16" s="121" t="s">
        <v>7</v>
      </c>
      <c r="C16" s="122"/>
      <c r="D16" s="122"/>
      <c r="E16" s="123"/>
      <c r="F16" s="119" t="s">
        <v>61</v>
      </c>
      <c r="G16" s="101" t="s">
        <v>8</v>
      </c>
      <c r="H16" s="101" t="s">
        <v>9</v>
      </c>
      <c r="I16" s="101" t="s">
        <v>10</v>
      </c>
      <c r="J16" s="103" t="s">
        <v>11</v>
      </c>
      <c r="K16" s="3"/>
    </row>
    <row r="17" spans="1:11" ht="15.75" thickBot="1" x14ac:dyDescent="0.3">
      <c r="A17" s="91"/>
      <c r="B17" s="124"/>
      <c r="C17" s="125"/>
      <c r="D17" s="125"/>
      <c r="E17" s="126"/>
      <c r="F17" s="120"/>
      <c r="G17" s="102"/>
      <c r="H17" s="102"/>
      <c r="I17" s="102"/>
      <c r="J17" s="104"/>
      <c r="K17" s="3"/>
    </row>
    <row r="18" spans="1:11" x14ac:dyDescent="0.25">
      <c r="A18" s="69" t="str">
        <f>IF(B18="","",COUNTA($B$18:B18))</f>
        <v/>
      </c>
      <c r="B18" s="155"/>
      <c r="C18" s="68"/>
      <c r="D18" s="68"/>
      <c r="E18" s="70"/>
      <c r="F18" s="5" t="str">
        <f t="shared" ref="F18:F25" si="0">IF(ISBLANK(B18), "", 271019)</f>
        <v/>
      </c>
      <c r="G18" s="81"/>
      <c r="H18" s="75"/>
      <c r="I18" s="3" t="str">
        <f>IF(ISBLANK(H18), "", "LTR")</f>
        <v/>
      </c>
      <c r="J18" s="21">
        <f>G18*H18</f>
        <v>0</v>
      </c>
      <c r="K18" s="3"/>
    </row>
    <row r="19" spans="1:11" x14ac:dyDescent="0.25">
      <c r="A19" s="69" t="str">
        <f>IF(B19="","",COUNTA($B$18:B19))</f>
        <v/>
      </c>
      <c r="B19" s="58"/>
      <c r="C19" s="59"/>
      <c r="D19" s="59"/>
      <c r="E19" s="64"/>
      <c r="F19" s="5" t="str">
        <f t="shared" si="0"/>
        <v/>
      </c>
      <c r="G19" s="4"/>
      <c r="H19" s="76"/>
      <c r="I19" s="3" t="str">
        <f t="shared" ref="I19:I25" si="1">IF(ISBLANK(H19), "", "LTR")</f>
        <v/>
      </c>
      <c r="J19" s="21">
        <f t="shared" ref="J19:J26" si="2">G19*H19</f>
        <v>0</v>
      </c>
      <c r="K19" s="3"/>
    </row>
    <row r="20" spans="1:11" x14ac:dyDescent="0.25">
      <c r="A20" s="69" t="str">
        <f>IF(B20="","",COUNTA($B$18:B20))</f>
        <v/>
      </c>
      <c r="B20" s="58"/>
      <c r="C20" s="59"/>
      <c r="D20" s="59"/>
      <c r="E20" s="64"/>
      <c r="F20" s="5" t="str">
        <f t="shared" si="0"/>
        <v/>
      </c>
      <c r="G20" s="4"/>
      <c r="H20" s="76"/>
      <c r="I20" s="3" t="str">
        <f t="shared" si="1"/>
        <v/>
      </c>
      <c r="J20" s="21">
        <f t="shared" si="2"/>
        <v>0</v>
      </c>
      <c r="K20" s="3"/>
    </row>
    <row r="21" spans="1:11" x14ac:dyDescent="0.25">
      <c r="A21" s="69" t="str">
        <f>IF(B21="","",COUNTA($B$18:B21))</f>
        <v/>
      </c>
      <c r="B21" s="58"/>
      <c r="C21" s="59"/>
      <c r="D21" s="59"/>
      <c r="E21" s="64"/>
      <c r="F21" s="5" t="str">
        <f t="shared" si="0"/>
        <v/>
      </c>
      <c r="G21" s="4"/>
      <c r="H21" s="76"/>
      <c r="I21" s="3" t="str">
        <f t="shared" si="1"/>
        <v/>
      </c>
      <c r="J21" s="21">
        <f t="shared" si="2"/>
        <v>0</v>
      </c>
      <c r="K21" s="3"/>
    </row>
    <row r="22" spans="1:11" ht="15.75" customHeight="1" x14ac:dyDescent="0.25">
      <c r="A22" s="69" t="str">
        <f>IF(B22="","",COUNTA($B$18:B22))</f>
        <v/>
      </c>
      <c r="B22" s="58"/>
      <c r="C22" s="59"/>
      <c r="D22" s="59"/>
      <c r="E22" s="64"/>
      <c r="F22" s="5" t="str">
        <f t="shared" si="0"/>
        <v/>
      </c>
      <c r="G22" s="4"/>
      <c r="H22" s="76"/>
      <c r="I22" s="3" t="str">
        <f t="shared" si="1"/>
        <v/>
      </c>
      <c r="J22" s="21">
        <f t="shared" si="2"/>
        <v>0</v>
      </c>
      <c r="K22" s="3"/>
    </row>
    <row r="23" spans="1:11" ht="15.75" customHeight="1" x14ac:dyDescent="0.25">
      <c r="A23" s="69" t="str">
        <f>IF(B23="","",COUNTA($B$18:B23))</f>
        <v/>
      </c>
      <c r="B23" s="58"/>
      <c r="C23" s="59"/>
      <c r="D23" s="59"/>
      <c r="E23" s="64"/>
      <c r="F23" s="5" t="str">
        <f t="shared" si="0"/>
        <v/>
      </c>
      <c r="G23" s="4"/>
      <c r="H23" s="76"/>
      <c r="I23" s="3" t="str">
        <f t="shared" si="1"/>
        <v/>
      </c>
      <c r="J23" s="21">
        <f t="shared" si="2"/>
        <v>0</v>
      </c>
      <c r="K23" s="3"/>
    </row>
    <row r="24" spans="1:11" ht="15.75" customHeight="1" x14ac:dyDescent="0.25">
      <c r="A24" s="69" t="str">
        <f>IF(B24="","",COUNTA($B$18:B24))</f>
        <v/>
      </c>
      <c r="B24" s="58"/>
      <c r="C24" s="59"/>
      <c r="D24" s="59"/>
      <c r="E24" s="64"/>
      <c r="F24" s="5" t="str">
        <f t="shared" si="0"/>
        <v/>
      </c>
      <c r="G24" s="4"/>
      <c r="H24" s="76"/>
      <c r="I24" s="3" t="str">
        <f t="shared" si="1"/>
        <v/>
      </c>
      <c r="J24" s="21">
        <f t="shared" si="2"/>
        <v>0</v>
      </c>
      <c r="K24" s="3"/>
    </row>
    <row r="25" spans="1:11" ht="15.75" customHeight="1" x14ac:dyDescent="0.25">
      <c r="A25" s="69" t="str">
        <f>IF(B25="","",COUNTA($B$18:B25))</f>
        <v/>
      </c>
      <c r="B25" s="58"/>
      <c r="C25" s="59"/>
      <c r="D25" s="59"/>
      <c r="E25" s="64"/>
      <c r="F25" s="5" t="str">
        <f t="shared" si="0"/>
        <v/>
      </c>
      <c r="G25" s="4"/>
      <c r="H25" s="76"/>
      <c r="I25" s="3" t="str">
        <f t="shared" si="1"/>
        <v/>
      </c>
      <c r="J25" s="21">
        <f t="shared" si="2"/>
        <v>0</v>
      </c>
      <c r="K25" s="3"/>
    </row>
    <row r="26" spans="1:11" ht="15.75" customHeight="1" x14ac:dyDescent="0.25">
      <c r="A26" s="69" t="str">
        <f>IF(B26="","",COUNTA($B$18:B26))</f>
        <v/>
      </c>
      <c r="B26" s="58"/>
      <c r="C26" s="59"/>
      <c r="D26" s="59"/>
      <c r="E26" s="64"/>
      <c r="F26" s="5"/>
      <c r="G26" s="4"/>
      <c r="H26" s="76"/>
      <c r="I26" s="3"/>
      <c r="J26" s="21">
        <f t="shared" si="2"/>
        <v>0</v>
      </c>
      <c r="K26" s="3"/>
    </row>
    <row r="27" spans="1:11" ht="15.75" customHeight="1" x14ac:dyDescent="0.25">
      <c r="A27" s="69" t="str">
        <f>IF(B27="","",COUNTA($B$18:B27))</f>
        <v/>
      </c>
      <c r="B27" s="58"/>
      <c r="C27" s="59"/>
      <c r="D27" s="59"/>
      <c r="E27" s="64"/>
      <c r="F27" s="5"/>
      <c r="G27" s="4"/>
      <c r="H27" s="76"/>
      <c r="I27" s="3"/>
      <c r="J27" s="21"/>
      <c r="K27" s="3"/>
    </row>
    <row r="28" spans="1:11" ht="15.75" customHeight="1" thickBot="1" x14ac:dyDescent="0.3">
      <c r="A28" s="69" t="str">
        <f>IF(B28="","",COUNTA($B$18:B28))</f>
        <v/>
      </c>
      <c r="B28" s="58"/>
      <c r="C28" s="59"/>
      <c r="D28" s="59"/>
      <c r="E28" s="72"/>
      <c r="F28" s="5"/>
      <c r="G28" s="4"/>
      <c r="H28" s="76"/>
      <c r="I28" s="3"/>
      <c r="J28" s="22"/>
      <c r="K28" s="3"/>
    </row>
    <row r="29" spans="1:11" ht="15.75" customHeight="1" thickBot="1" x14ac:dyDescent="0.3">
      <c r="A29" s="34"/>
      <c r="B29" s="34" t="s">
        <v>12</v>
      </c>
      <c r="C29" s="3"/>
      <c r="D29" s="3"/>
      <c r="E29" s="24"/>
      <c r="F29" s="5"/>
      <c r="G29" s="4"/>
      <c r="H29" s="76"/>
      <c r="I29" s="5"/>
      <c r="J29" s="11">
        <f>J18+J19+J20+J21+J22+J23+J24+J25+J26+J27+J28</f>
        <v>0</v>
      </c>
      <c r="K29" s="3"/>
    </row>
    <row r="30" spans="1:11" ht="15.75" customHeight="1" x14ac:dyDescent="0.25">
      <c r="A30" s="34"/>
      <c r="B30" s="34"/>
      <c r="C30" s="3"/>
      <c r="D30" s="140" t="s">
        <v>13</v>
      </c>
      <c r="E30" s="141"/>
      <c r="F30" s="5"/>
      <c r="G30" s="4"/>
      <c r="H30" s="76"/>
      <c r="I30" s="5"/>
      <c r="J30" s="10">
        <f>J29*9/100</f>
        <v>0</v>
      </c>
      <c r="K30" s="3"/>
    </row>
    <row r="31" spans="1:11" ht="15.75" customHeight="1" thickBot="1" x14ac:dyDescent="0.3">
      <c r="A31" s="34"/>
      <c r="B31" s="34"/>
      <c r="C31" s="3"/>
      <c r="D31" s="140" t="s">
        <v>14</v>
      </c>
      <c r="E31" s="141"/>
      <c r="F31" s="5"/>
      <c r="G31" s="4"/>
      <c r="H31" s="76"/>
      <c r="I31" s="5"/>
      <c r="J31" s="11">
        <f>J30</f>
        <v>0</v>
      </c>
      <c r="K31" s="3"/>
    </row>
    <row r="32" spans="1:11" ht="15.75" hidden="1" customHeight="1" x14ac:dyDescent="0.25">
      <c r="A32" s="34"/>
      <c r="B32" s="34"/>
      <c r="C32" s="3"/>
      <c r="D32" s="142"/>
      <c r="E32" s="143"/>
      <c r="F32" s="5"/>
      <c r="G32" s="4"/>
      <c r="H32" s="76"/>
      <c r="I32" s="5"/>
      <c r="J32" s="12"/>
      <c r="K32" s="3"/>
    </row>
    <row r="33" spans="1:11" ht="15.75" customHeight="1" thickBot="1" x14ac:dyDescent="0.3">
      <c r="A33" s="27"/>
      <c r="B33" s="27"/>
      <c r="C33" s="25"/>
      <c r="D33" s="144" t="s">
        <v>15</v>
      </c>
      <c r="E33" s="145"/>
      <c r="F33" s="5"/>
      <c r="G33" s="4"/>
      <c r="H33" s="76"/>
      <c r="I33" s="5"/>
      <c r="J33" s="12">
        <f>ROUND(J29+J30+J31,0)-(J29+J30+J31)</f>
        <v>0</v>
      </c>
      <c r="K33" s="3"/>
    </row>
    <row r="34" spans="1:11" ht="15.75" customHeight="1" thickBot="1" x14ac:dyDescent="0.3">
      <c r="A34" s="4"/>
      <c r="B34" s="29"/>
      <c r="C34" s="30"/>
      <c r="D34" s="30"/>
      <c r="E34" s="31" t="s">
        <v>16</v>
      </c>
      <c r="F34" s="8"/>
      <c r="G34" s="13">
        <f>G18+G19+G21+G22+G24+G25+G23+G26+G27+G28+G29+G30+G31+G32+G20</f>
        <v>0</v>
      </c>
      <c r="H34" s="77"/>
      <c r="I34" s="14"/>
      <c r="J34" s="10">
        <f>J30+J29+J31+J33</f>
        <v>0</v>
      </c>
      <c r="K34" s="3"/>
    </row>
    <row r="35" spans="1:11" ht="15.75" customHeight="1" x14ac:dyDescent="0.25">
      <c r="A35" s="2" t="s">
        <v>17</v>
      </c>
      <c r="B35" s="3"/>
      <c r="C35" s="3"/>
      <c r="D35" s="3"/>
      <c r="E35" s="3"/>
      <c r="F35" s="3"/>
      <c r="G35" s="3"/>
      <c r="H35" s="3"/>
      <c r="I35" s="3"/>
      <c r="J35" s="15" t="s">
        <v>18</v>
      </c>
      <c r="K35" s="3"/>
    </row>
    <row r="36" spans="1:11" ht="15.75" customHeight="1" thickBot="1" x14ac:dyDescent="0.3">
      <c r="A36" s="4">
        <f>SpellNumber(J34)</f>
        <v>0</v>
      </c>
      <c r="B36" s="3"/>
      <c r="C36" s="3"/>
      <c r="D36" s="3"/>
      <c r="E36" s="3"/>
      <c r="F36" s="3"/>
      <c r="G36" s="3"/>
      <c r="H36" s="3"/>
      <c r="I36" s="3"/>
      <c r="J36" s="5"/>
      <c r="K36" s="3"/>
    </row>
    <row r="37" spans="1:11" ht="15.75" customHeight="1" thickBot="1" x14ac:dyDescent="0.3">
      <c r="A37" s="109" t="s">
        <v>61</v>
      </c>
      <c r="B37" s="110"/>
      <c r="C37" s="111"/>
      <c r="D37" s="148" t="s">
        <v>63</v>
      </c>
      <c r="E37" s="149"/>
      <c r="F37" s="115" t="s">
        <v>64</v>
      </c>
      <c r="G37" s="116"/>
      <c r="H37" s="154" t="s">
        <v>65</v>
      </c>
      <c r="I37" s="116"/>
      <c r="J37" s="45" t="s">
        <v>19</v>
      </c>
      <c r="K37" s="3"/>
    </row>
    <row r="38" spans="1:11" ht="15.75" customHeight="1" thickBot="1" x14ac:dyDescent="0.3">
      <c r="A38" s="112"/>
      <c r="B38" s="113"/>
      <c r="C38" s="114"/>
      <c r="D38" s="150"/>
      <c r="E38" s="151"/>
      <c r="F38" s="47" t="s">
        <v>9</v>
      </c>
      <c r="G38" s="45" t="s">
        <v>11</v>
      </c>
      <c r="H38" s="48" t="s">
        <v>9</v>
      </c>
      <c r="I38" s="49" t="s">
        <v>11</v>
      </c>
      <c r="J38" s="46" t="s">
        <v>20</v>
      </c>
      <c r="K38" s="3"/>
    </row>
    <row r="39" spans="1:11" ht="15.75" customHeight="1" thickBot="1" x14ac:dyDescent="0.3">
      <c r="A39" s="2"/>
      <c r="B39" s="1"/>
      <c r="C39" s="6" t="str">
        <f>F18</f>
        <v/>
      </c>
      <c r="D39" s="146">
        <f>J29</f>
        <v>0</v>
      </c>
      <c r="E39" s="147"/>
      <c r="F39" s="39">
        <v>0.09</v>
      </c>
      <c r="G39" s="40">
        <f>J30</f>
        <v>0</v>
      </c>
      <c r="H39" s="51">
        <v>0.09</v>
      </c>
      <c r="I39" s="40">
        <f>G39</f>
        <v>0</v>
      </c>
      <c r="J39" s="40">
        <f>G39+I39</f>
        <v>0</v>
      </c>
      <c r="K39" s="3"/>
    </row>
    <row r="40" spans="1:11" ht="15.75" customHeight="1" x14ac:dyDescent="0.25">
      <c r="A40" s="33" t="s">
        <v>21</v>
      </c>
      <c r="B40" s="23"/>
      <c r="C40" s="23"/>
      <c r="D40" s="43"/>
      <c r="E40" s="43"/>
      <c r="F40" s="23"/>
      <c r="G40" s="23"/>
      <c r="H40" s="52" t="s">
        <v>22</v>
      </c>
      <c r="I40" s="53" t="s">
        <v>23</v>
      </c>
      <c r="J40" s="54"/>
      <c r="K40" s="50"/>
    </row>
    <row r="41" spans="1:11" ht="15.75" customHeight="1" thickBot="1" x14ac:dyDescent="0.3">
      <c r="A41" s="44">
        <f>SpellNumber(J39)</f>
        <v>0</v>
      </c>
      <c r="B41" s="25"/>
      <c r="C41" s="25"/>
      <c r="D41" s="25"/>
      <c r="E41" s="25"/>
      <c r="F41" s="25"/>
      <c r="G41" s="25"/>
      <c r="H41" s="34"/>
      <c r="I41" s="3"/>
      <c r="J41" s="24"/>
      <c r="K41" s="3"/>
    </row>
    <row r="42" spans="1:11" ht="15.75" customHeight="1" x14ac:dyDescent="0.25">
      <c r="A42" s="4"/>
      <c r="B42" s="3"/>
      <c r="C42" s="41" t="s">
        <v>24</v>
      </c>
      <c r="D42" s="42" t="s">
        <v>25</v>
      </c>
      <c r="E42" s="42"/>
      <c r="F42" s="3"/>
      <c r="G42" s="3"/>
      <c r="H42" s="34" t="s">
        <v>26</v>
      </c>
      <c r="I42" s="3"/>
      <c r="J42" s="55">
        <v>0</v>
      </c>
      <c r="K42" s="3"/>
    </row>
    <row r="43" spans="1:11" ht="15.75" customHeight="1" x14ac:dyDescent="0.25">
      <c r="A43" s="4"/>
      <c r="B43" s="3" t="s">
        <v>43</v>
      </c>
      <c r="C43" s="3"/>
      <c r="D43" s="16" t="s">
        <v>41</v>
      </c>
      <c r="E43" s="16"/>
      <c r="F43" s="3"/>
      <c r="G43" s="3"/>
      <c r="H43" s="34" t="s">
        <v>27</v>
      </c>
      <c r="I43" s="3"/>
      <c r="J43" s="56">
        <f>J34</f>
        <v>0</v>
      </c>
      <c r="K43" s="3"/>
    </row>
    <row r="44" spans="1:11" ht="15.75" customHeight="1" x14ac:dyDescent="0.25">
      <c r="A44" s="4"/>
      <c r="B44" s="3" t="s">
        <v>44</v>
      </c>
      <c r="C44" s="3"/>
      <c r="D44" s="139">
        <v>12311011001807</v>
      </c>
      <c r="E44" s="139"/>
      <c r="F44" s="139"/>
      <c r="G44" s="139"/>
      <c r="H44" s="34" t="s">
        <v>28</v>
      </c>
      <c r="I44" s="3"/>
      <c r="J44" s="57">
        <f>J42+J43</f>
        <v>0</v>
      </c>
      <c r="K44" s="3"/>
    </row>
    <row r="45" spans="1:11" ht="16.5" customHeight="1" x14ac:dyDescent="0.25">
      <c r="A45" s="4"/>
      <c r="B45" s="3" t="s">
        <v>45</v>
      </c>
      <c r="C45" s="3"/>
      <c r="D45" s="16" t="s">
        <v>29</v>
      </c>
      <c r="E45" s="16"/>
      <c r="F45" s="3"/>
      <c r="G45" s="3"/>
      <c r="H45" s="34"/>
      <c r="I45" s="3"/>
      <c r="J45" s="24"/>
      <c r="K45" s="3"/>
    </row>
    <row r="46" spans="1:11" ht="15.75" hidden="1" customHeight="1" x14ac:dyDescent="0.25">
      <c r="A46" s="4"/>
      <c r="B46" s="3"/>
      <c r="C46" s="3"/>
      <c r="D46" s="3"/>
      <c r="E46" s="3"/>
      <c r="F46" s="3"/>
      <c r="G46" s="3"/>
      <c r="H46" s="34"/>
      <c r="I46" s="3"/>
      <c r="J46" s="24"/>
      <c r="K46" s="3"/>
    </row>
    <row r="47" spans="1:11" ht="15.75" hidden="1" customHeight="1" x14ac:dyDescent="0.25">
      <c r="A47" s="4"/>
      <c r="B47" s="3"/>
      <c r="C47" s="3"/>
      <c r="D47" s="3"/>
      <c r="E47" s="3"/>
      <c r="F47" s="3"/>
      <c r="G47" s="3"/>
      <c r="H47" s="34"/>
      <c r="I47" s="3"/>
      <c r="J47" s="24"/>
      <c r="K47" s="3"/>
    </row>
    <row r="48" spans="1:11" ht="15.75" hidden="1" customHeight="1" x14ac:dyDescent="0.25">
      <c r="A48" s="4"/>
      <c r="B48" s="3"/>
      <c r="C48" s="3"/>
      <c r="D48" s="3"/>
      <c r="E48" s="3"/>
      <c r="F48" s="3"/>
      <c r="G48" s="3"/>
      <c r="H48" s="34"/>
      <c r="I48" s="3"/>
      <c r="J48" s="24"/>
      <c r="K48" s="3"/>
    </row>
    <row r="49" spans="1:11" ht="15.75" customHeight="1" thickBot="1" x14ac:dyDescent="0.3">
      <c r="A49" s="7"/>
      <c r="B49" s="8" t="s">
        <v>46</v>
      </c>
      <c r="C49" s="8"/>
      <c r="D49" s="17" t="s">
        <v>30</v>
      </c>
      <c r="E49" s="17"/>
      <c r="F49" s="8"/>
      <c r="G49" s="8"/>
      <c r="H49" s="27"/>
      <c r="I49" s="25"/>
      <c r="J49" s="28"/>
      <c r="K49" s="3"/>
    </row>
    <row r="50" spans="1:11" ht="15.75" customHeight="1" x14ac:dyDescent="0.25">
      <c r="A50" s="18" t="s">
        <v>31</v>
      </c>
      <c r="B50" s="3"/>
      <c r="C50" s="3"/>
      <c r="D50" s="3"/>
      <c r="E50" s="3"/>
      <c r="F50" s="4" t="s">
        <v>32</v>
      </c>
      <c r="G50" s="5"/>
      <c r="H50" s="26" t="s">
        <v>33</v>
      </c>
      <c r="I50" s="3"/>
      <c r="J50" s="5"/>
      <c r="K50" s="3"/>
    </row>
    <row r="51" spans="1:11" ht="15.75" customHeight="1" x14ac:dyDescent="0.25">
      <c r="A51" s="19" t="s">
        <v>34</v>
      </c>
      <c r="B51" s="3"/>
      <c r="C51" s="3"/>
      <c r="D51" s="3"/>
      <c r="E51" s="3"/>
      <c r="F51" s="4"/>
      <c r="G51" s="5"/>
      <c r="H51" s="4"/>
      <c r="I51" s="3"/>
      <c r="J51" s="5"/>
    </row>
    <row r="52" spans="1:11" ht="15.75" customHeight="1" x14ac:dyDescent="0.25">
      <c r="A52" s="19" t="s">
        <v>35</v>
      </c>
      <c r="B52" s="3"/>
      <c r="C52" s="3"/>
      <c r="D52" s="3"/>
      <c r="E52" s="3"/>
      <c r="F52" s="4"/>
      <c r="G52" s="5"/>
      <c r="H52" s="4"/>
      <c r="I52" s="3"/>
      <c r="J52" s="5"/>
    </row>
    <row r="53" spans="1:11" ht="15.75" customHeight="1" x14ac:dyDescent="0.25">
      <c r="A53" s="19" t="s">
        <v>36</v>
      </c>
      <c r="B53" s="3"/>
      <c r="C53" s="3"/>
      <c r="D53" s="3"/>
      <c r="E53" s="3"/>
      <c r="F53" s="4"/>
      <c r="G53" s="5"/>
      <c r="H53" s="4"/>
      <c r="I53" s="3"/>
      <c r="J53" s="5"/>
    </row>
    <row r="54" spans="1:11" ht="15.75" customHeight="1" thickBot="1" x14ac:dyDescent="0.3">
      <c r="A54" s="20" t="s">
        <v>37</v>
      </c>
      <c r="B54" s="8"/>
      <c r="C54" s="8"/>
      <c r="D54" s="8"/>
      <c r="E54" s="8"/>
      <c r="F54" s="7"/>
      <c r="G54" s="14"/>
      <c r="H54" s="7"/>
      <c r="I54" s="8" t="s">
        <v>38</v>
      </c>
      <c r="J54" s="14"/>
    </row>
    <row r="55" spans="1:11" ht="15.75" customHeight="1" x14ac:dyDescent="0.25">
      <c r="A55" s="3"/>
      <c r="B55" s="3"/>
      <c r="C55" s="3"/>
      <c r="D55" s="3"/>
      <c r="E55" s="3"/>
      <c r="F55" s="9" t="s">
        <v>39</v>
      </c>
      <c r="G55" s="3"/>
      <c r="H55" s="3"/>
      <c r="I55" s="3"/>
      <c r="J55" s="3"/>
    </row>
    <row r="56" spans="1:11" ht="15.75" customHeight="1" x14ac:dyDescent="0.25"/>
    <row r="57" spans="1:11" ht="15.75" customHeight="1" x14ac:dyDescent="0.25"/>
    <row r="58" spans="1:11" ht="15.75" customHeight="1" x14ac:dyDescent="0.25"/>
    <row r="59" spans="1:11" ht="15.75" customHeight="1" x14ac:dyDescent="0.25"/>
    <row r="60" spans="1:11" ht="15.75" customHeight="1" x14ac:dyDescent="0.25"/>
    <row r="61" spans="1:11" ht="15.75" customHeight="1" x14ac:dyDescent="0.25"/>
    <row r="62" spans="1:11" ht="15.75" customHeight="1" x14ac:dyDescent="0.25"/>
    <row r="63" spans="1:11" ht="15.75" customHeight="1" x14ac:dyDescent="0.25"/>
    <row r="64" spans="1:11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  <row r="998" ht="15.75" customHeight="1" x14ac:dyDescent="0.25"/>
    <row r="999" ht="15.75" customHeight="1" x14ac:dyDescent="0.25"/>
    <row r="1000" ht="15.75" customHeight="1" x14ac:dyDescent="0.25"/>
    <row r="1001" ht="15.75" customHeight="1" x14ac:dyDescent="0.25"/>
  </sheetData>
  <mergeCells count="48">
    <mergeCell ref="G6:H6"/>
    <mergeCell ref="G4:H4"/>
    <mergeCell ref="G8:H8"/>
    <mergeCell ref="D44:G44"/>
    <mergeCell ref="D30:E30"/>
    <mergeCell ref="D31:E31"/>
    <mergeCell ref="D32:E32"/>
    <mergeCell ref="D33:E33"/>
    <mergeCell ref="D39:E39"/>
    <mergeCell ref="D37:E38"/>
    <mergeCell ref="A10:F10"/>
    <mergeCell ref="C11:F11"/>
    <mergeCell ref="C7:F7"/>
    <mergeCell ref="A8:F8"/>
    <mergeCell ref="A9:F9"/>
    <mergeCell ref="H37:I37"/>
    <mergeCell ref="I7:J7"/>
    <mergeCell ref="A37:C38"/>
    <mergeCell ref="F37:G37"/>
    <mergeCell ref="I6:J6"/>
    <mergeCell ref="F16:F17"/>
    <mergeCell ref="B16:E17"/>
    <mergeCell ref="G7:H7"/>
    <mergeCell ref="G9:H9"/>
    <mergeCell ref="G10:H10"/>
    <mergeCell ref="I8:J8"/>
    <mergeCell ref="I9:J9"/>
    <mergeCell ref="A14:B14"/>
    <mergeCell ref="A7:B7"/>
    <mergeCell ref="A11:B11"/>
    <mergeCell ref="A12:B12"/>
    <mergeCell ref="A13:B13"/>
    <mergeCell ref="A16:A17"/>
    <mergeCell ref="G11:J15"/>
    <mergeCell ref="G16:G17"/>
    <mergeCell ref="H16:H17"/>
    <mergeCell ref="J16:J17"/>
    <mergeCell ref="I16:I17"/>
    <mergeCell ref="A15:B15"/>
    <mergeCell ref="I1:J1"/>
    <mergeCell ref="I2:J2"/>
    <mergeCell ref="I4:J4"/>
    <mergeCell ref="G5:H5"/>
    <mergeCell ref="I5:J5"/>
    <mergeCell ref="G3:H3"/>
    <mergeCell ref="G1:H1"/>
    <mergeCell ref="I3:J3"/>
    <mergeCell ref="G2:H2"/>
  </mergeCells>
  <hyperlinks>
    <hyperlink ref="D30" r:id="rId1"/>
    <hyperlink ref="D31" r:id="rId2"/>
    <hyperlink ref="I40" r:id="rId3"/>
  </hyperlinks>
  <pageMargins left="0.23622047244094491" right="0.19685039370078741" top="0.74803149606299213" bottom="0" header="0.31496062992125984" footer="0"/>
  <pageSetup paperSize="9" scale="97" orientation="portrait" r:id="rId4"/>
  <headerFooter>
    <oddHeader xml:space="preserve">&amp;C&amp;"-,Bold"&amp;16TAX INVOICE&amp;Roriginal
</oddHeader>
  </headerFooter>
  <ignoredErrors>
    <ignoredError sqref="A21:A22" formulaRange="1"/>
  </ignoredErrors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7" name="Button 6">
              <controlPr defaultSize="0" print="0" autoFill="0" autoPict="0" macro="[0]!All">
                <anchor moveWithCells="1">
                  <from>
                    <xdr:col>11</xdr:col>
                    <xdr:colOff>9525</xdr:colOff>
                    <xdr:row>4</xdr:row>
                    <xdr:rowOff>180975</xdr:rowOff>
                  </from>
                  <to>
                    <xdr:col>11</xdr:col>
                    <xdr:colOff>552450</xdr:colOff>
                    <xdr:row>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8" name="Button 7">
              <controlPr defaultSize="0" print="0" autoFill="0" autoPict="0" macro="[0]!Only_Print">
                <anchor moveWithCells="1">
                  <from>
                    <xdr:col>12</xdr:col>
                    <xdr:colOff>19050</xdr:colOff>
                    <xdr:row>4</xdr:row>
                    <xdr:rowOff>190500</xdr:rowOff>
                  </from>
                  <to>
                    <xdr:col>13</xdr:col>
                    <xdr:colOff>66675</xdr:colOff>
                    <xdr:row>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9" name="Button 8">
              <controlPr defaultSize="0" print="0" autoFill="0" autoPict="0" macro="[0]!Only_Send">
                <anchor moveWithCells="1">
                  <from>
                    <xdr:col>13</xdr:col>
                    <xdr:colOff>104775</xdr:colOff>
                    <xdr:row>4</xdr:row>
                    <xdr:rowOff>180975</xdr:rowOff>
                  </from>
                  <to>
                    <xdr:col>14</xdr:col>
                    <xdr:colOff>152400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0" name="Button 10">
              <controlPr defaultSize="0" print="0" autoFill="0" autoPict="0" macro="[0]!AddToLedger">
                <anchor moveWithCells="1">
                  <from>
                    <xdr:col>14</xdr:col>
                    <xdr:colOff>161925</xdr:colOff>
                    <xdr:row>4</xdr:row>
                    <xdr:rowOff>190500</xdr:rowOff>
                  </from>
                  <to>
                    <xdr:col>15</xdr:col>
                    <xdr:colOff>190500</xdr:colOff>
                    <xdr:row>6</xdr:row>
                    <xdr:rowOff>28575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Sheet2!$A:$A</xm:f>
          </x14:formula1>
          <xm:sqref>C7:F7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I31"/>
  <sheetViews>
    <sheetView zoomScale="85" zoomScaleNormal="85" workbookViewId="0">
      <selection activeCell="G14" sqref="G14"/>
    </sheetView>
  </sheetViews>
  <sheetFormatPr defaultRowHeight="15" x14ac:dyDescent="0.25"/>
  <cols>
    <col min="1" max="1" width="25.7109375" style="79" customWidth="1"/>
    <col min="2" max="4" width="50.7109375" style="79" customWidth="1"/>
    <col min="5" max="5" width="31.42578125" style="79" customWidth="1"/>
    <col min="6" max="6" width="20.7109375" style="79" customWidth="1"/>
    <col min="7" max="7" width="18" style="79" customWidth="1"/>
    <col min="8" max="8" width="31.42578125" style="79" customWidth="1"/>
    <col min="9" max="9" width="20.5703125" style="79" customWidth="1"/>
    <col min="10" max="16384" width="9.140625" style="79"/>
  </cols>
  <sheetData>
    <row r="1" spans="1:9" x14ac:dyDescent="0.25">
      <c r="A1" s="78" t="s">
        <v>67</v>
      </c>
      <c r="B1" s="78" t="s">
        <v>68</v>
      </c>
      <c r="C1" s="78" t="s">
        <v>69</v>
      </c>
      <c r="D1" s="78" t="s">
        <v>70</v>
      </c>
      <c r="E1" s="78" t="s">
        <v>71</v>
      </c>
      <c r="F1" s="78" t="s">
        <v>72</v>
      </c>
      <c r="G1" s="78" t="s">
        <v>73</v>
      </c>
      <c r="H1" s="78" t="s">
        <v>74</v>
      </c>
      <c r="I1" s="78" t="s">
        <v>88</v>
      </c>
    </row>
    <row r="2" spans="1:9" x14ac:dyDescent="0.25">
      <c r="A2" s="79" t="s">
        <v>122</v>
      </c>
      <c r="B2" s="79" t="s">
        <v>123</v>
      </c>
      <c r="C2" s="79" t="s">
        <v>124</v>
      </c>
      <c r="D2" s="79" t="s">
        <v>125</v>
      </c>
      <c r="E2" s="79" t="s">
        <v>126</v>
      </c>
      <c r="H2" s="80"/>
      <c r="I2" s="79" t="s">
        <v>89</v>
      </c>
    </row>
    <row r="3" spans="1:9" x14ac:dyDescent="0.25">
      <c r="A3" s="79" t="s">
        <v>82</v>
      </c>
      <c r="B3" s="79" t="s">
        <v>75</v>
      </c>
      <c r="C3" s="79" t="s">
        <v>76</v>
      </c>
      <c r="D3" s="79" t="s">
        <v>77</v>
      </c>
      <c r="E3" s="79" t="s">
        <v>78</v>
      </c>
      <c r="F3" s="79" t="s">
        <v>174</v>
      </c>
      <c r="G3" s="79">
        <v>7208575095</v>
      </c>
      <c r="H3" s="79" t="s">
        <v>175</v>
      </c>
      <c r="I3" s="79" t="s">
        <v>89</v>
      </c>
    </row>
    <row r="4" spans="1:9" x14ac:dyDescent="0.25">
      <c r="A4" s="79" t="s">
        <v>171</v>
      </c>
      <c r="B4" s="79" t="s">
        <v>184</v>
      </c>
      <c r="C4" s="79" t="s">
        <v>183</v>
      </c>
      <c r="D4" s="79" t="s">
        <v>172</v>
      </c>
      <c r="E4" s="79" t="s">
        <v>173</v>
      </c>
      <c r="G4" s="79">
        <v>9969612877</v>
      </c>
      <c r="I4" s="79" t="s">
        <v>89</v>
      </c>
    </row>
    <row r="5" spans="1:9" x14ac:dyDescent="0.25">
      <c r="A5" s="79" t="s">
        <v>116</v>
      </c>
      <c r="B5" s="79" t="s">
        <v>117</v>
      </c>
      <c r="C5" s="79" t="s">
        <v>118</v>
      </c>
      <c r="E5" s="79" t="s">
        <v>119</v>
      </c>
      <c r="F5" s="79" t="s">
        <v>237</v>
      </c>
      <c r="G5" s="79">
        <v>9930263577</v>
      </c>
      <c r="I5" s="79" t="s">
        <v>121</v>
      </c>
    </row>
    <row r="6" spans="1:9" x14ac:dyDescent="0.25">
      <c r="A6" s="79" t="s">
        <v>92</v>
      </c>
      <c r="B6" s="79" t="s">
        <v>93</v>
      </c>
      <c r="C6" s="79" t="s">
        <v>94</v>
      </c>
      <c r="D6" s="79" t="s">
        <v>95</v>
      </c>
      <c r="E6" s="79" t="s">
        <v>96</v>
      </c>
      <c r="F6" s="79" t="s">
        <v>234</v>
      </c>
      <c r="G6" s="79">
        <v>9702523988</v>
      </c>
      <c r="H6" s="71" t="s">
        <v>235</v>
      </c>
      <c r="I6" s="79" t="s">
        <v>89</v>
      </c>
    </row>
    <row r="7" spans="1:9" x14ac:dyDescent="0.25">
      <c r="A7" s="79" t="s">
        <v>79</v>
      </c>
      <c r="B7" s="79" t="s">
        <v>80</v>
      </c>
      <c r="C7" s="79" t="s">
        <v>81</v>
      </c>
      <c r="E7" s="79" t="s">
        <v>84</v>
      </c>
      <c r="F7" s="79" t="s">
        <v>236</v>
      </c>
      <c r="G7" s="79">
        <v>7021521001</v>
      </c>
      <c r="H7" s="80" t="s">
        <v>157</v>
      </c>
      <c r="I7" s="79" t="s">
        <v>90</v>
      </c>
    </row>
    <row r="8" spans="1:9" x14ac:dyDescent="0.25">
      <c r="A8" s="79" t="s">
        <v>146</v>
      </c>
      <c r="B8" s="79" t="s">
        <v>147</v>
      </c>
      <c r="C8" s="79" t="s">
        <v>148</v>
      </c>
      <c r="E8" s="79" t="s">
        <v>149</v>
      </c>
      <c r="F8" s="79" t="s">
        <v>230</v>
      </c>
      <c r="G8" s="79">
        <v>9820246084</v>
      </c>
      <c r="H8" s="80" t="s">
        <v>170</v>
      </c>
      <c r="I8" s="79" t="s">
        <v>66</v>
      </c>
    </row>
    <row r="9" spans="1:9" x14ac:dyDescent="0.25">
      <c r="A9" s="79" t="s">
        <v>107</v>
      </c>
      <c r="B9" s="79" t="s">
        <v>108</v>
      </c>
      <c r="C9" s="79" t="s">
        <v>109</v>
      </c>
      <c r="D9" s="79" t="s">
        <v>110</v>
      </c>
      <c r="E9" s="79" t="s">
        <v>111</v>
      </c>
      <c r="H9" s="80" t="s">
        <v>112</v>
      </c>
      <c r="I9" s="79" t="s">
        <v>120</v>
      </c>
    </row>
    <row r="10" spans="1:9" x14ac:dyDescent="0.25">
      <c r="A10" s="79" t="s">
        <v>182</v>
      </c>
      <c r="B10" s="79" t="s">
        <v>113</v>
      </c>
      <c r="C10" s="79" t="s">
        <v>114</v>
      </c>
      <c r="E10" s="79" t="s">
        <v>115</v>
      </c>
      <c r="I10" s="79" t="s">
        <v>120</v>
      </c>
    </row>
    <row r="11" spans="1:9" x14ac:dyDescent="0.25">
      <c r="A11" s="79" t="s">
        <v>141</v>
      </c>
      <c r="B11" s="79" t="s">
        <v>142</v>
      </c>
      <c r="C11" s="79" t="s">
        <v>143</v>
      </c>
      <c r="D11" s="79" t="s">
        <v>144</v>
      </c>
      <c r="E11" s="79" t="s">
        <v>145</v>
      </c>
      <c r="F11" s="79" t="s">
        <v>176</v>
      </c>
      <c r="G11" s="79">
        <v>9322663776</v>
      </c>
      <c r="I11" s="79" t="s">
        <v>66</v>
      </c>
    </row>
    <row r="12" spans="1:9" x14ac:dyDescent="0.25">
      <c r="A12" s="79" t="s">
        <v>153</v>
      </c>
      <c r="B12" s="79" t="s">
        <v>154</v>
      </c>
      <c r="C12" s="79" t="s">
        <v>155</v>
      </c>
      <c r="D12" s="79" t="s">
        <v>156</v>
      </c>
      <c r="E12" s="79" t="s">
        <v>161</v>
      </c>
      <c r="I12" s="79" t="s">
        <v>120</v>
      </c>
    </row>
    <row r="13" spans="1:9" x14ac:dyDescent="0.25">
      <c r="A13" s="79" t="s">
        <v>150</v>
      </c>
      <c r="B13" s="79" t="s">
        <v>151</v>
      </c>
      <c r="C13" s="79" t="s">
        <v>152</v>
      </c>
      <c r="E13" s="79" t="s">
        <v>201</v>
      </c>
      <c r="F13" s="79" t="s">
        <v>243</v>
      </c>
      <c r="G13" s="79">
        <v>9082967817</v>
      </c>
      <c r="I13" s="79" t="s">
        <v>89</v>
      </c>
    </row>
    <row r="14" spans="1:9" x14ac:dyDescent="0.25">
      <c r="A14" s="79" t="s">
        <v>83</v>
      </c>
      <c r="B14" s="79" t="s">
        <v>85</v>
      </c>
      <c r="C14" s="79" t="s">
        <v>86</v>
      </c>
      <c r="E14" s="79" t="s">
        <v>87</v>
      </c>
      <c r="F14" s="79" t="s">
        <v>244</v>
      </c>
      <c r="G14" s="79">
        <v>9619832830</v>
      </c>
      <c r="I14" s="79" t="s">
        <v>91</v>
      </c>
    </row>
    <row r="15" spans="1:9" x14ac:dyDescent="0.25">
      <c r="A15" s="79" t="s">
        <v>102</v>
      </c>
      <c r="B15" s="79" t="s">
        <v>103</v>
      </c>
      <c r="C15" s="79" t="s">
        <v>104</v>
      </c>
      <c r="E15" s="79" t="s">
        <v>105</v>
      </c>
      <c r="I15" s="79" t="s">
        <v>106</v>
      </c>
    </row>
    <row r="16" spans="1:9" x14ac:dyDescent="0.25">
      <c r="A16" s="79" t="s">
        <v>137</v>
      </c>
      <c r="B16" s="79" t="s">
        <v>138</v>
      </c>
      <c r="C16" s="79" t="s">
        <v>140</v>
      </c>
      <c r="E16" s="79" t="s">
        <v>139</v>
      </c>
      <c r="F16" s="79" t="s">
        <v>216</v>
      </c>
      <c r="G16" s="79">
        <v>9975564359</v>
      </c>
      <c r="I16" s="79" t="s">
        <v>89</v>
      </c>
    </row>
    <row r="17" spans="1:9" x14ac:dyDescent="0.25">
      <c r="A17" s="79" t="s">
        <v>132</v>
      </c>
      <c r="B17" s="79" t="s">
        <v>135</v>
      </c>
      <c r="C17" s="79" t="s">
        <v>133</v>
      </c>
      <c r="D17" s="79" t="s">
        <v>134</v>
      </c>
      <c r="E17" s="79" t="s">
        <v>136</v>
      </c>
      <c r="I17" s="79" t="s">
        <v>66</v>
      </c>
    </row>
    <row r="18" spans="1:9" x14ac:dyDescent="0.25">
      <c r="A18" s="79" t="s">
        <v>158</v>
      </c>
      <c r="B18" s="79" t="s">
        <v>159</v>
      </c>
      <c r="C18" s="79" t="s">
        <v>160</v>
      </c>
      <c r="E18" s="79" t="s">
        <v>162</v>
      </c>
      <c r="F18" s="79" t="s">
        <v>163</v>
      </c>
      <c r="G18" s="79">
        <v>9823221724</v>
      </c>
      <c r="I18" s="79" t="s">
        <v>89</v>
      </c>
    </row>
    <row r="19" spans="1:9" x14ac:dyDescent="0.25">
      <c r="A19" s="79" t="s">
        <v>177</v>
      </c>
      <c r="B19" s="79" t="s">
        <v>178</v>
      </c>
      <c r="C19" s="79" t="s">
        <v>179</v>
      </c>
      <c r="D19" s="79" t="s">
        <v>180</v>
      </c>
      <c r="E19" s="79" t="s">
        <v>181</v>
      </c>
      <c r="I19" s="79" t="s">
        <v>120</v>
      </c>
    </row>
    <row r="20" spans="1:9" x14ac:dyDescent="0.25">
      <c r="A20" s="79" t="s">
        <v>164</v>
      </c>
      <c r="B20" s="79" t="s">
        <v>165</v>
      </c>
      <c r="C20" s="79" t="s">
        <v>166</v>
      </c>
      <c r="D20" s="79" t="s">
        <v>167</v>
      </c>
      <c r="E20" s="79" t="s">
        <v>168</v>
      </c>
      <c r="F20" s="79" t="s">
        <v>169</v>
      </c>
      <c r="G20" s="79">
        <v>9821257695</v>
      </c>
      <c r="I20" s="79" t="s">
        <v>66</v>
      </c>
    </row>
    <row r="21" spans="1:9" x14ac:dyDescent="0.25">
      <c r="A21" s="79" t="s">
        <v>97</v>
      </c>
      <c r="B21" s="79" t="s">
        <v>98</v>
      </c>
      <c r="C21" s="79" t="s">
        <v>99</v>
      </c>
      <c r="E21" s="79" t="s">
        <v>100</v>
      </c>
      <c r="I21" s="79" t="s">
        <v>101</v>
      </c>
    </row>
    <row r="22" spans="1:9" x14ac:dyDescent="0.25">
      <c r="A22" s="79" t="s">
        <v>127</v>
      </c>
      <c r="B22" s="79" t="s">
        <v>232</v>
      </c>
      <c r="C22" s="79" t="s">
        <v>231</v>
      </c>
      <c r="E22" s="79" t="s">
        <v>130</v>
      </c>
      <c r="F22" s="79" t="s">
        <v>202</v>
      </c>
      <c r="G22" s="79">
        <v>9819164040</v>
      </c>
      <c r="H22" s="80" t="s">
        <v>203</v>
      </c>
      <c r="I22" s="79" t="s">
        <v>131</v>
      </c>
    </row>
    <row r="23" spans="1:9" x14ac:dyDescent="0.25">
      <c r="A23" s="79" t="s">
        <v>233</v>
      </c>
      <c r="B23" s="79" t="s">
        <v>128</v>
      </c>
      <c r="C23" s="79" t="s">
        <v>129</v>
      </c>
      <c r="E23" s="79" t="s">
        <v>130</v>
      </c>
      <c r="F23" s="79" t="s">
        <v>202</v>
      </c>
      <c r="G23" s="79">
        <v>9819164040</v>
      </c>
      <c r="H23" s="80" t="s">
        <v>203</v>
      </c>
      <c r="I23" s="79" t="s">
        <v>131</v>
      </c>
    </row>
    <row r="24" spans="1:9" x14ac:dyDescent="0.25">
      <c r="A24" s="79" t="s">
        <v>185</v>
      </c>
      <c r="B24" s="79" t="s">
        <v>186</v>
      </c>
      <c r="C24" s="79" t="s">
        <v>187</v>
      </c>
      <c r="E24" s="79" t="s">
        <v>188</v>
      </c>
      <c r="G24" s="79">
        <v>9870065604</v>
      </c>
      <c r="I24" s="79" t="s">
        <v>189</v>
      </c>
    </row>
    <row r="25" spans="1:9" x14ac:dyDescent="0.25">
      <c r="A25" s="79" t="s">
        <v>190</v>
      </c>
      <c r="B25" s="79" t="s">
        <v>191</v>
      </c>
      <c r="C25" s="79" t="s">
        <v>192</v>
      </c>
      <c r="D25" s="79" t="s">
        <v>193</v>
      </c>
      <c r="E25" s="79" t="s">
        <v>194</v>
      </c>
      <c r="F25" s="79" t="s">
        <v>195</v>
      </c>
      <c r="G25" s="79">
        <v>9820949121</v>
      </c>
      <c r="I25" s="79" t="s">
        <v>66</v>
      </c>
    </row>
    <row r="26" spans="1:9" x14ac:dyDescent="0.25">
      <c r="A26" s="79" t="s">
        <v>196</v>
      </c>
      <c r="B26" s="73" t="s">
        <v>197</v>
      </c>
      <c r="C26" s="73" t="s">
        <v>198</v>
      </c>
      <c r="D26" s="73" t="s">
        <v>193</v>
      </c>
      <c r="E26" s="79" t="s">
        <v>199</v>
      </c>
      <c r="F26" s="79" t="s">
        <v>200</v>
      </c>
      <c r="G26" s="79">
        <v>9967710826</v>
      </c>
      <c r="I26" s="79" t="s">
        <v>66</v>
      </c>
    </row>
    <row r="27" spans="1:9" x14ac:dyDescent="0.25">
      <c r="A27" s="79" t="s">
        <v>204</v>
      </c>
      <c r="B27" s="79" t="s">
        <v>205</v>
      </c>
      <c r="C27" s="79" t="s">
        <v>206</v>
      </c>
      <c r="D27" s="79" t="s">
        <v>207</v>
      </c>
      <c r="E27" s="79" t="s">
        <v>208</v>
      </c>
      <c r="I27" s="79" t="s">
        <v>89</v>
      </c>
    </row>
    <row r="28" spans="1:9" x14ac:dyDescent="0.25">
      <c r="A28" s="79" t="s">
        <v>215</v>
      </c>
      <c r="B28" s="79" t="s">
        <v>209</v>
      </c>
      <c r="C28" s="79" t="s">
        <v>210</v>
      </c>
      <c r="D28" s="79" t="s">
        <v>211</v>
      </c>
      <c r="E28" s="79" t="s">
        <v>212</v>
      </c>
      <c r="F28" s="79" t="s">
        <v>214</v>
      </c>
      <c r="G28" s="79">
        <v>9892086789</v>
      </c>
      <c r="H28" s="80" t="s">
        <v>213</v>
      </c>
      <c r="I28" s="79" t="s">
        <v>89</v>
      </c>
    </row>
    <row r="29" spans="1:9" x14ac:dyDescent="0.25">
      <c r="A29" s="79" t="s">
        <v>217</v>
      </c>
      <c r="B29" s="73" t="s">
        <v>219</v>
      </c>
      <c r="C29" s="73" t="s">
        <v>220</v>
      </c>
      <c r="D29" s="73" t="s">
        <v>221</v>
      </c>
      <c r="E29" s="79" t="s">
        <v>218</v>
      </c>
      <c r="F29" s="73" t="s">
        <v>222</v>
      </c>
      <c r="G29" s="79">
        <v>9820770055</v>
      </c>
      <c r="I29" s="79" t="s">
        <v>89</v>
      </c>
    </row>
    <row r="30" spans="1:9" x14ac:dyDescent="0.25">
      <c r="A30" s="79" t="s">
        <v>223</v>
      </c>
      <c r="B30" s="79" t="s">
        <v>224</v>
      </c>
      <c r="C30" s="79" t="s">
        <v>228</v>
      </c>
      <c r="D30" s="79" t="s">
        <v>229</v>
      </c>
      <c r="E30" s="79" t="s">
        <v>226</v>
      </c>
      <c r="F30" s="79" t="s">
        <v>225</v>
      </c>
      <c r="G30" s="79">
        <v>9518796742</v>
      </c>
      <c r="H30" s="71" t="s">
        <v>227</v>
      </c>
    </row>
    <row r="31" spans="1:9" x14ac:dyDescent="0.25">
      <c r="A31" s="79" t="s">
        <v>238</v>
      </c>
      <c r="B31" s="79" t="s">
        <v>239</v>
      </c>
      <c r="C31" s="79" t="s">
        <v>240</v>
      </c>
      <c r="D31" s="79" t="s">
        <v>241</v>
      </c>
      <c r="E31" s="79" t="s">
        <v>242</v>
      </c>
      <c r="G31" s="79">
        <v>8356946204</v>
      </c>
      <c r="I31" s="79" t="s">
        <v>189</v>
      </c>
    </row>
  </sheetData>
  <sortState ref="A2:I23">
    <sortCondition ref="A1"/>
  </sortState>
  <dataValidations count="1">
    <dataValidation type="textLength" operator="equal" allowBlank="1" showInputMessage="1" showErrorMessage="1" sqref="E30:E1048576 E1:E28">
      <formula1>15</formula1>
    </dataValidation>
  </dataValidations>
  <hyperlinks>
    <hyperlink ref="H9" r:id="rId1"/>
    <hyperlink ref="H7" r:id="rId2"/>
    <hyperlink ref="H8" r:id="rId3"/>
    <hyperlink ref="H23" r:id="rId4"/>
    <hyperlink ref="H28" r:id="rId5"/>
    <hyperlink ref="H30" r:id="rId6"/>
    <hyperlink ref="H22" r:id="rId7"/>
    <hyperlink ref="H6" r:id="rId8"/>
  </hyperlink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E698431E-5C6B-48EA-A386-8F1538437E8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Sheet1</vt:lpstr>
      <vt:lpstr>Sheet2</vt:lpstr>
      <vt:lpstr>Sheet1!Print_Area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hardik</dc:creator>
  <cp:lastModifiedBy>hardik</cp:lastModifiedBy>
  <cp:lastPrinted>2024-02-07T05:23:23Z</cp:lastPrinted>
  <dcterms:created xsi:type="dcterms:W3CDTF">2023-08-27T17:46:54Z</dcterms:created>
  <dcterms:modified xsi:type="dcterms:W3CDTF">2024-02-07T05:26:43Z</dcterms:modified>
</cp:coreProperties>
</file>